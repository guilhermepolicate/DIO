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Rose Claudino\Desktop\DIO\Excel\Projeto entregue\"/>
    </mc:Choice>
  </mc:AlternateContent>
  <xr:revisionPtr revIDLastSave="0" documentId="13_ncr:1_{3BBF411B-4BED-4DC9-A0EA-BB3A119ABA9F}" xr6:coauthVersionLast="47" xr6:coauthVersionMax="47" xr10:uidLastSave="{00000000-0000-0000-0000-000000000000}"/>
  <bookViews>
    <workbookView xWindow="-120" yWindow="-120" windowWidth="20730" windowHeight="11160" tabRatio="0" firstSheet="3" activeTab="3" xr2:uid="{28DD5B76-0634-4F87-BE60-8BFA7EF2E23B}"/>
  </bookViews>
  <sheets>
    <sheet name="A̳ssets" sheetId="1" state="hidden" r:id="rId1"/>
    <sheet name="Cálculos" sheetId="5" state="hidden" r:id="rId2"/>
    <sheet name="B̳ases" sheetId="2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8" i="5" l="1"/>
  <c r="D16" i="5"/>
</calcChain>
</file>

<file path=xl/sharedStrings.xml><?xml version="1.0" encoding="utf-8"?>
<sst xmlns="http://schemas.openxmlformats.org/spreadsheetml/2006/main" count="2017" uniqueCount="321">
  <si>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</si>
  <si>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</si>
  <si>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</si>
  <si>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</si>
  <si>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</si>
  <si>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</si>
  <si>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</si>
  <si>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</si>
  <si>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</si>
  <si>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</si>
  <si>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</si>
  <si>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</si>
  <si>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</si>
  <si>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</si>
  <si>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</si>
  <si>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</si>
  <si>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</si>
  <si>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</si>
  <si>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</si>
  <si>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</si>
  <si>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</si>
  <si>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</si>
  <si>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</si>
  <si>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</si>
  <si>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</si>
  <si>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</si>
  <si>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</si>
  <si>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</si>
  <si>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</si>
  <si>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</si>
  <si>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</si>
  <si>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</si>
  <si>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</si>
  <si>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</si>
  <si>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</si>
  <si>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</si>
  <si>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</si>
  <si>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</si>
  <si>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</si>
  <si>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</si>
  <si>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</si>
  <si>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</si>
  <si>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</si>
  <si>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</si>
  <si>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</si>
  <si>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</si>
  <si>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</si>
  <si>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</si>
  <si>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</si>
  <si>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</si>
  <si>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</si>
  <si>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</si>
  <si>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</si>
  <si>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</si>
  <si>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</si>
  <si>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</si>
  <si>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</si>
  <si>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</si>
  <si>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</si>
  <si>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</si>
  <si>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</si>
  <si>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</si>
  <si>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</si>
  <si>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</si>
  <si>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</si>
  <si>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</si>
  <si>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</si>
  <si>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</si>
  <si>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</si>
  <si>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</si>
  <si>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</si>
  <si>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</si>
  <si>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</si>
  <si>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</si>
  <si>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</si>
  <si>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</si>
  <si>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</si>
  <si>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</si>
  <si>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</si>
  <si>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</si>
  <si>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</si>
  <si>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</si>
  <si>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</si>
  <si>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</si>
  <si>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</si>
  <si>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</si>
  <si>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</si>
  <si>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</si>
  <si>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</si>
  <si>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</si>
  <si>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</si>
  <si>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</si>
  <si>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</si>
  <si>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</si>
  <si>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</si>
  <si>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</si>
  <si>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</si>
  <si>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</si>
  <si>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</si>
  <si>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</si>
  <si>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</si>
  <si>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</si>
  <si>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</si>
  <si>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</si>
  <si>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</si>
  <si>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</si>
  <si>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</si>
  <si>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</si>
  <si>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</si>
  <si>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</si>
  <si>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</si>
  <si>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</si>
  <si>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</si>
  <si>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</si>
  <si>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</si>
  <si>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</si>
  <si>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</si>
  <si>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</si>
  <si>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</si>
  <si>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</si>
  <si>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</si>
  <si>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</si>
  <si>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</si>
  <si>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</si>
  <si>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</si>
  <si>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</si>
  <si>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</si>
  <si>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</si>
  <si>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</si>
  <si>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</si>
  <si>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</si>
  <si>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</si>
  <si>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</si>
  <si>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</si>
  <si>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</si>
  <si>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</si>
  <si>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</si>
  <si>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</si>
  <si>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</si>
  <si>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</si>
  <si>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</si>
  <si>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</si>
  <si>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</si>
  <si>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</si>
  <si>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</si>
  <si>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</si>
  <si>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</si>
  <si>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</si>
  <si>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</si>
  <si>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</si>
  <si>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</si>
  <si>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</si>
  <si>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</si>
  <si>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</si>
  <si>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</si>
  <si>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</si>
  <si>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</si>
  <si>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</si>
  <si>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</si>
  <si>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</si>
  <si>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</si>
  <si>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</si>
  <si>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</si>
  <si>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</si>
  <si>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</si>
  <si>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</si>
  <si>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</si>
  <si>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</si>
  <si>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</si>
  <si>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</si>
  <si>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</si>
  <si>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</si>
  <si>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</si>
  <si>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</si>
  <si>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</si>
  <si>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</si>
  <si>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</si>
  <si>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</si>
  <si>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</si>
  <si>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</si>
  <si>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</si>
  <si>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</si>
  <si>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</si>
  <si>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</si>
  <si>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</si>
  <si>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</si>
  <si>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</si>
  <si>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</si>
  <si>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</si>
  <si>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</si>
  <si>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</si>
  <si>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</si>
  <si>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</si>
  <si>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</si>
  <si>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</si>
  <si>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</si>
  <si>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</si>
  <si>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</si>
  <si>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</si>
  <si>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</si>
  <si>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</si>
  <si>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</si>
  <si>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</si>
  <si>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</si>
  <si>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</si>
  <si>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</si>
  <si>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</si>
  <si>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</si>
  <si>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</si>
  <si>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</si>
  <si>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</si>
  <si>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</si>
  <si>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</si>
  <si>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</si>
  <si>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</si>
  <si>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</si>
  <si>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</si>
  <si>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</si>
  <si>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</si>
  <si>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</si>
  <si>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</si>
  <si>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</si>
  <si>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</si>
  <si>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</si>
  <si>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</si>
  <si>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</si>
  <si>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</si>
  <si>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</si>
  <si>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</si>
  <si>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</si>
  <si>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</si>
  <si>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</si>
  <si>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</si>
  <si>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</si>
  <si>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</si>
  <si>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</si>
  <si>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</si>
  <si>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</si>
  <si>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</si>
  <si>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</si>
  <si>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</si>
  <si>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</si>
  <si>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</si>
  <si>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</si>
  <si>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</si>
  <si>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</si>
  <si>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</si>
  <si>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</si>
  <si>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</si>
  <si>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</si>
  <si>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</si>
  <si>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</si>
  <si>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</si>
  <si>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</si>
  <si>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</si>
  <si>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</si>
  <si>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</si>
  <si>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</si>
  <si>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</si>
  <si>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</si>
  <si>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</si>
  <si>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</si>
  <si>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</si>
  <si>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</si>
  <si>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</si>
  <si>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</si>
  <si>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</si>
  <si>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</si>
  <si>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</si>
  <si>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</si>
  <si>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</si>
  <si>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</si>
  <si>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</si>
  <si>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</si>
  <si>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</si>
  <si>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</si>
  <si>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</si>
  <si>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</si>
  <si>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</si>
  <si>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</si>
  <si>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</si>
  <si>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</si>
  <si>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</si>
  <si>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</si>
  <si>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</si>
  <si>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</si>
  <si>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</si>
  <si>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</si>
  <si>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</si>
  <si>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</si>
  <si>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</si>
  <si>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</si>
  <si>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</si>
  <si>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</si>
  <si>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</si>
  <si>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</si>
  <si>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</si>
  <si>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</si>
  <si>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</si>
  <si>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</si>
  <si>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</si>
  <si>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</si>
  <si>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</si>
  <si>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</si>
  <si>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</si>
  <si>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</si>
  <si>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</si>
  <si>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</si>
  <si>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</si>
  <si>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</si>
  <si>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</si>
  <si>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</si>
  <si>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</si>
  <si>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Soma de Total Value</t>
  </si>
  <si>
    <t>Rótulos de Linha</t>
  </si>
  <si>
    <t>Total Geral</t>
  </si>
  <si>
    <t xml:space="preserve">XBOX GAME PASS SUBSCRIPTIONS SALE </t>
  </si>
  <si>
    <t xml:space="preserve">Pergunta de Negocios 3 - Total de vendas EA Play </t>
  </si>
  <si>
    <t>Soma de EA Play Season Pass</t>
  </si>
  <si>
    <t xml:space="preserve">Pergunta de Negocios 3 - Total de vendas Minecraft  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</si>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</sst>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5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22C55E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6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8" borderId="0" xfId="0" applyFill="1"/>
    <xf numFmtId="0" fontId="4" fillId="8" borderId="2" xfId="1" applyFont="1" applyFill="1" applyBorder="1" applyAlignment="1">
      <alignment vertical="center"/>
    </xf>
    <xf numFmtId="44" fontId="0" fillId="0" borderId="0" xfId="2" applyFont="1"/>
    <xf numFmtId="0" fontId="0" fillId="0" borderId="0" xfId="0" applyAlignment="1">
      <alignment horizontal="center"/>
    </xf>
    <xf numFmtId="0" fontId="0" fillId="8" borderId="0" xfId="0" applyFill="1" applyBorder="1"/>
    <xf numFmtId="0" fontId="0" fillId="7" borderId="0" xfId="0" applyFill="1" applyBorder="1"/>
    <xf numFmtId="0" fontId="0" fillId="4" borderId="0" xfId="0" applyFill="1" applyBorder="1"/>
    <xf numFmtId="0" fontId="0" fillId="0" borderId="0" xfId="0" applyNumberFormat="1"/>
    <xf numFmtId="0" fontId="0" fillId="8" borderId="0" xfId="0" applyFill="1" applyAlignment="1">
      <alignment horizontal="left" indent="4"/>
    </xf>
    <xf numFmtId="0" fontId="0" fillId="7" borderId="0" xfId="0" applyFill="1" applyBorder="1" applyAlignment="1">
      <alignment horizontal="left" indent="4"/>
    </xf>
    <xf numFmtId="0" fontId="0" fillId="7" borderId="0" xfId="0" applyFill="1" applyAlignment="1">
      <alignment horizontal="left" indent="4"/>
    </xf>
    <xf numFmtId="0" fontId="4" fillId="8" borderId="2" xfId="1" applyFont="1" applyFill="1" applyBorder="1" applyAlignment="1">
      <alignment horizontal="left" vertical="center" indent="5"/>
    </xf>
  </cellXfs>
  <cellStyles count="3">
    <cellStyle name="Moeda" xfId="2" builtinId="4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  <name val="Malgun Gothic"/>
        <family val="2"/>
        <scheme val="none"/>
      </font>
      <border>
        <bottom style="thin">
          <color theme="9"/>
        </bottom>
        <vertical/>
        <horizontal/>
      </border>
    </dxf>
    <dxf>
      <font>
        <color theme="0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44D3804C-4900-429E-AE7F-5EFC6862D158}">
      <tableStyleElement type="wholeTable" dxfId="15"/>
      <tableStyleElement type="headerRow" dxfId="14"/>
    </tableStyle>
  </tableStyles>
  <colors>
    <mruColors>
      <color rgb="FF22C55E"/>
      <color rgb="FF5BF6A8"/>
      <color rgb="FF2AE6B1"/>
      <color rgb="FFF8F8F8"/>
      <color rgb="FFE8E6E9"/>
      <color rgb="FF000000"/>
      <color rgb="FFE0E0E0"/>
      <color rgb="FFEDEDED"/>
      <color rgb="FFF7F8FC"/>
      <color rgb="FF9BC848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[805d54f9-6d53-4246-bed7-4aa2da615923.xlsx]Cálculos!Total Value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1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4007570593014425E-2"/>
          <c:y val="0.24323125337298113"/>
          <c:w val="0.92314456991799643"/>
          <c:h val="0.6149248383649574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Cálculos!$B$3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1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Cálculos!$A$4:$A$6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Cálculos!$B$4:$B$6</c:f>
              <c:numCache>
                <c:formatCode>General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92-4E30-99C4-C761D44467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89727360"/>
        <c:axId val="289738176"/>
      </c:barChart>
      <c:catAx>
        <c:axId val="2897273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89738176"/>
        <c:crosses val="autoZero"/>
        <c:auto val="1"/>
        <c:lblAlgn val="ctr"/>
        <c:lblOffset val="100"/>
        <c:noMultiLvlLbl val="0"/>
      </c:catAx>
      <c:valAx>
        <c:axId val="28973817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89727360"/>
        <c:crosses val="autoZero"/>
        <c:crossBetween val="between"/>
      </c:valAx>
      <c:spPr>
        <a:solidFill>
          <a:sysClr val="window" lastClr="FFFFFF"/>
        </a:soli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ysClr val="window" lastClr="FFFFFF"/>
    </a:solidFill>
    <a:ln w="9525" cap="flat" cmpd="sng" algn="ctr">
      <a:solidFill>
        <a:srgbClr val="F8F8F8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6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476250</xdr:colOff>
      <xdr:row>27</xdr:row>
      <xdr:rowOff>114299</xdr:rowOff>
    </xdr:from>
    <xdr:to>
      <xdr:col>4</xdr:col>
      <xdr:colOff>196926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162050" y="5172074"/>
          <a:ext cx="1778076" cy="7143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309562</xdr:colOff>
      <xdr:row>0</xdr:row>
      <xdr:rowOff>0</xdr:rowOff>
    </xdr:from>
    <xdr:to>
      <xdr:col>3</xdr:col>
      <xdr:colOff>333375</xdr:colOff>
      <xdr:row>3</xdr:row>
      <xdr:rowOff>44121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F0BBB79-1DD0-46A6-90F8-D91383F0587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59" r="71210"/>
        <a:stretch/>
      </xdr:blipFill>
      <xdr:spPr>
        <a:xfrm>
          <a:off x="2345531" y="0"/>
          <a:ext cx="654844" cy="928686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</xdr:row>
      <xdr:rowOff>313766</xdr:rowOff>
    </xdr:from>
    <xdr:to>
      <xdr:col>0</xdr:col>
      <xdr:colOff>2028825</xdr:colOff>
      <xdr:row>17</xdr:row>
      <xdr:rowOff>44825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Subscription Type 1">
              <a:extLst>
                <a:ext uri="{FF2B5EF4-FFF2-40B4-BE49-F238E27FC236}">
                  <a16:creationId xmlns:a16="http://schemas.microsoft.com/office/drawing/2014/main" id="{58487FD0-F5D1-47B6-9855-163D80BE06C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199031"/>
              <a:ext cx="2028825" cy="248770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1</xdr:colOff>
      <xdr:row>3</xdr:row>
      <xdr:rowOff>62202</xdr:rowOff>
    </xdr:from>
    <xdr:to>
      <xdr:col>11</xdr:col>
      <xdr:colOff>261939</xdr:colOff>
      <xdr:row>12</xdr:row>
      <xdr:rowOff>175795</xdr:rowOff>
    </xdr:to>
    <xdr:grpSp>
      <xdr:nvGrpSpPr>
        <xdr:cNvPr id="12" name="Agrupar 11">
          <a:extLst>
            <a:ext uri="{FF2B5EF4-FFF2-40B4-BE49-F238E27FC236}">
              <a16:creationId xmlns:a16="http://schemas.microsoft.com/office/drawing/2014/main" id="{D295619E-0E0E-4520-ADC1-AB1668085BF1}"/>
            </a:ext>
          </a:extLst>
        </xdr:cNvPr>
        <xdr:cNvGrpSpPr/>
      </xdr:nvGrpSpPr>
      <xdr:grpSpPr>
        <a:xfrm>
          <a:off x="2386854" y="947467"/>
          <a:ext cx="6021761" cy="1951357"/>
          <a:chOff x="2405063" y="1607344"/>
          <a:chExt cx="5083968" cy="1450181"/>
        </a:xfrm>
      </xdr:grpSpPr>
      <xdr:sp macro="" textlink="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8181A0E1-B4A3-440E-9E67-4485DF3438C9}"/>
              </a:ext>
            </a:extLst>
          </xdr:cNvPr>
          <xdr:cNvSpPr/>
        </xdr:nvSpPr>
        <xdr:spPr>
          <a:xfrm>
            <a:off x="2416967" y="1643063"/>
            <a:ext cx="5060158" cy="1202532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1" name="Retângulo: Cantos Superiores Arredondados 10">
            <a:extLst>
              <a:ext uri="{FF2B5EF4-FFF2-40B4-BE49-F238E27FC236}">
                <a16:creationId xmlns:a16="http://schemas.microsoft.com/office/drawing/2014/main" id="{DD883ED1-6C27-463F-B6D8-1E8EDAEDDFBB}"/>
              </a:ext>
            </a:extLst>
          </xdr:cNvPr>
          <xdr:cNvSpPr/>
        </xdr:nvSpPr>
        <xdr:spPr>
          <a:xfrm>
            <a:off x="2405063" y="1607344"/>
            <a:ext cx="5083968" cy="500063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2400"/>
              <a:t>Total</a:t>
            </a:r>
            <a:r>
              <a:rPr lang="pt-BR" sz="2400" baseline="0"/>
              <a:t> Subscritions</a:t>
            </a:r>
            <a:r>
              <a:rPr lang="pt-BR" sz="2400"/>
              <a:t> EA</a:t>
            </a:r>
            <a:r>
              <a:rPr lang="pt-BR" sz="2400" baseline="0"/>
              <a:t> Play Season Pass</a:t>
            </a:r>
            <a:endParaRPr lang="pt-BR" sz="2400"/>
          </a:p>
        </xdr:txBody>
      </xdr:sp>
      <xdr:sp macro="" textlink="Cálculos!D16">
        <xdr:nvSpPr>
          <xdr:cNvPr id="9" name="Retângulo: Cantos Arredondados 8">
            <a:extLst>
              <a:ext uri="{FF2B5EF4-FFF2-40B4-BE49-F238E27FC236}">
                <a16:creationId xmlns:a16="http://schemas.microsoft.com/office/drawing/2014/main" id="{CC300B93-3762-48B5-B078-7A1D2D3A16F0}"/>
              </a:ext>
            </a:extLst>
          </xdr:cNvPr>
          <xdr:cNvSpPr/>
        </xdr:nvSpPr>
        <xdr:spPr>
          <a:xfrm>
            <a:off x="3940968" y="2170510"/>
            <a:ext cx="3440909" cy="621506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9741E516-2411-476D-9629-B07AE82D91E0}" type="TxLink">
              <a:rPr lang="en-US" sz="4800" b="0" i="0" u="none" strike="noStrike">
                <a:solidFill>
                  <a:srgbClr val="22C55E"/>
                </a:solidFill>
                <a:latin typeface="Aptos Narrow"/>
              </a:rPr>
              <a:pPr algn="ctr"/>
              <a:t> R$ 600,00 </a:t>
            </a:fld>
            <a:endParaRPr lang="pt-BR" sz="4800">
              <a:solidFill>
                <a:srgbClr val="22C55E"/>
              </a:solidFill>
            </a:endParaRPr>
          </a:p>
        </xdr:txBody>
      </xdr:sp>
      <xdr:pic>
        <xdr:nvPicPr>
          <xdr:cNvPr id="10" name="Imagem 9">
            <a:extLst>
              <a:ext uri="{FF2B5EF4-FFF2-40B4-BE49-F238E27FC236}">
                <a16:creationId xmlns:a16="http://schemas.microsoft.com/office/drawing/2014/main" id="{041C26B5-BE27-4248-9333-76C8A5187D1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571750" y="1905000"/>
            <a:ext cx="1371600" cy="1152525"/>
          </a:xfrm>
          <a:prstGeom prst="rect">
            <a:avLst/>
          </a:prstGeom>
        </xdr:spPr>
      </xdr:pic>
    </xdr:grpSp>
    <xdr:clientData/>
  </xdr:twoCellAnchor>
  <xdr:twoCellAnchor editAs="absolute">
    <xdr:from>
      <xdr:col>12</xdr:col>
      <xdr:colOff>190501</xdr:colOff>
      <xdr:row>3</xdr:row>
      <xdr:rowOff>56029</xdr:rowOff>
    </xdr:from>
    <xdr:to>
      <xdr:col>21</xdr:col>
      <xdr:colOff>416721</xdr:colOff>
      <xdr:row>11</xdr:row>
      <xdr:rowOff>80543</xdr:rowOff>
    </xdr:to>
    <xdr:grpSp>
      <xdr:nvGrpSpPr>
        <xdr:cNvPr id="6" name="Agrupar 5">
          <a:extLst>
            <a:ext uri="{FF2B5EF4-FFF2-40B4-BE49-F238E27FC236}">
              <a16:creationId xmlns:a16="http://schemas.microsoft.com/office/drawing/2014/main" id="{0A1EB4C6-F572-40E5-B2DB-F6103FBF7B80}"/>
            </a:ext>
          </a:extLst>
        </xdr:cNvPr>
        <xdr:cNvGrpSpPr/>
      </xdr:nvGrpSpPr>
      <xdr:grpSpPr>
        <a:xfrm>
          <a:off x="9020736" y="941294"/>
          <a:ext cx="6030867" cy="1682984"/>
          <a:chOff x="8798721" y="964406"/>
          <a:chExt cx="6072188" cy="1666875"/>
        </a:xfrm>
      </xdr:grpSpPr>
      <xdr:grpSp>
        <xdr:nvGrpSpPr>
          <xdr:cNvPr id="29" name="Agrupar 28">
            <a:extLst>
              <a:ext uri="{FF2B5EF4-FFF2-40B4-BE49-F238E27FC236}">
                <a16:creationId xmlns:a16="http://schemas.microsoft.com/office/drawing/2014/main" id="{5E0F67EA-F70C-40DC-86DF-132BC9858AD9}"/>
              </a:ext>
            </a:extLst>
          </xdr:cNvPr>
          <xdr:cNvGrpSpPr/>
        </xdr:nvGrpSpPr>
        <xdr:grpSpPr>
          <a:xfrm>
            <a:off x="8798721" y="964406"/>
            <a:ext cx="6072188" cy="1666875"/>
            <a:chOff x="2405063" y="1607344"/>
            <a:chExt cx="5083968" cy="1238251"/>
          </a:xfrm>
        </xdr:grpSpPr>
        <xdr:sp macro="" textlink="">
          <xdr:nvSpPr>
            <xdr:cNvPr id="30" name="Retângulo: Cantos Arredondados 29">
              <a:extLst>
                <a:ext uri="{FF2B5EF4-FFF2-40B4-BE49-F238E27FC236}">
                  <a16:creationId xmlns:a16="http://schemas.microsoft.com/office/drawing/2014/main" id="{52EE544A-3AC2-4BDA-9FDA-374DAAA1C5E2}"/>
                </a:ext>
              </a:extLst>
            </xdr:cNvPr>
            <xdr:cNvSpPr/>
          </xdr:nvSpPr>
          <xdr:spPr>
            <a:xfrm>
              <a:off x="2416967" y="1643063"/>
              <a:ext cx="5060158" cy="1202532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31" name="Retângulo: Cantos Superiores Arredondados 30">
              <a:extLst>
                <a:ext uri="{FF2B5EF4-FFF2-40B4-BE49-F238E27FC236}">
                  <a16:creationId xmlns:a16="http://schemas.microsoft.com/office/drawing/2014/main" id="{E1CAB672-8BCF-403B-8D31-A5B86472DDCB}"/>
                </a:ext>
              </a:extLst>
            </xdr:cNvPr>
            <xdr:cNvSpPr/>
          </xdr:nvSpPr>
          <xdr:spPr>
            <a:xfrm>
              <a:off x="2405063" y="1607344"/>
              <a:ext cx="5083968" cy="500063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2400"/>
                <a:t>Total</a:t>
              </a:r>
              <a:r>
                <a:rPr lang="pt-BR" sz="2400" baseline="0"/>
                <a:t> Subscritions</a:t>
              </a:r>
              <a:r>
                <a:rPr lang="pt-BR" sz="2400"/>
                <a:t> Minecraft</a:t>
              </a:r>
              <a:r>
                <a:rPr lang="pt-BR" sz="2400" baseline="0"/>
                <a:t> Season Pass</a:t>
              </a:r>
              <a:endParaRPr lang="pt-BR" sz="2400"/>
            </a:p>
          </xdr:txBody>
        </xdr:sp>
        <xdr:sp macro="" textlink="Cálculos!D28">
          <xdr:nvSpPr>
            <xdr:cNvPr id="32" name="Retângulo: Cantos Arredondados 31">
              <a:extLst>
                <a:ext uri="{FF2B5EF4-FFF2-40B4-BE49-F238E27FC236}">
                  <a16:creationId xmlns:a16="http://schemas.microsoft.com/office/drawing/2014/main" id="{761FC0B3-BCEB-415D-8474-9F006D6C23C9}"/>
                </a:ext>
              </a:extLst>
            </xdr:cNvPr>
            <xdr:cNvSpPr/>
          </xdr:nvSpPr>
          <xdr:spPr>
            <a:xfrm>
              <a:off x="3940968" y="2170509"/>
              <a:ext cx="3440909" cy="621506"/>
            </a:xfrm>
            <a:prstGeom prst="round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A74A69C6-03EB-43A3-8E90-FECF893EBEF8}" type="TxLink">
                <a:rPr lang="en-US" sz="4800" b="0" i="0" u="none" strike="noStrike">
                  <a:solidFill>
                    <a:srgbClr val="22C55E"/>
                  </a:solidFill>
                  <a:latin typeface="Aptos Narrow"/>
                </a:rPr>
                <a:pPr algn="ctr"/>
                <a:t> R$ 940,00 </a:t>
              </a:fld>
              <a:endParaRPr lang="pt-BR" sz="23900">
                <a:solidFill>
                  <a:srgbClr val="22C55E"/>
                </a:solidFill>
              </a:endParaRPr>
            </a:p>
          </xdr:txBody>
        </xdr:sp>
      </xdr:grpSp>
      <xdr:grpSp>
        <xdr:nvGrpSpPr>
          <xdr:cNvPr id="38" name="Agrupar 37">
            <a:extLst>
              <a:ext uri="{FF2B5EF4-FFF2-40B4-BE49-F238E27FC236}">
                <a16:creationId xmlns:a16="http://schemas.microsoft.com/office/drawing/2014/main" id="{1F551163-4259-4183-AF9B-71AF40DFD5D9}"/>
              </a:ext>
            </a:extLst>
          </xdr:cNvPr>
          <xdr:cNvGrpSpPr/>
        </xdr:nvGrpSpPr>
        <xdr:grpSpPr>
          <a:xfrm>
            <a:off x="9132096" y="1726407"/>
            <a:ext cx="1778076" cy="714379"/>
            <a:chOff x="3495675" y="5400674"/>
            <a:chExt cx="1549476" cy="752479"/>
          </a:xfrm>
        </xdr:grpSpPr>
        <xdr:pic>
          <xdr:nvPicPr>
            <xdr:cNvPr id="39" name="Imagem 38">
              <a:extLst>
                <a:ext uri="{FF2B5EF4-FFF2-40B4-BE49-F238E27FC236}">
                  <a16:creationId xmlns:a16="http://schemas.microsoft.com/office/drawing/2014/main" id="{E944C85C-0FE1-4AA2-ABA8-C82A44E895D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40" name="Gráfico 39">
              <a:extLst>
                <a:ext uri="{FF2B5EF4-FFF2-40B4-BE49-F238E27FC236}">
                  <a16:creationId xmlns:a16="http://schemas.microsoft.com/office/drawing/2014/main" id="{978236E0-415E-49FE-B6CD-AD3D1585739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9"/>
              <a:ext cx="1549476" cy="257214"/>
            </a:xfrm>
            <a:prstGeom prst="rect">
              <a:avLst/>
            </a:prstGeom>
          </xdr:spPr>
        </xdr:pic>
      </xdr:grpSp>
    </xdr:grpSp>
    <xdr:clientData/>
  </xdr:twoCellAnchor>
  <xdr:twoCellAnchor editAs="absolute">
    <xdr:from>
      <xdr:col>2</xdr:col>
      <xdr:colOff>11907</xdr:colOff>
      <xdr:row>12</xdr:row>
      <xdr:rowOff>80540</xdr:rowOff>
    </xdr:from>
    <xdr:to>
      <xdr:col>21</xdr:col>
      <xdr:colOff>416719</xdr:colOff>
      <xdr:row>27</xdr:row>
      <xdr:rowOff>104352</xdr:rowOff>
    </xdr:to>
    <xdr:grpSp>
      <xdr:nvGrpSpPr>
        <xdr:cNvPr id="43" name="Agrupar 42">
          <a:extLst>
            <a:ext uri="{FF2B5EF4-FFF2-40B4-BE49-F238E27FC236}">
              <a16:creationId xmlns:a16="http://schemas.microsoft.com/office/drawing/2014/main" id="{C0DBC964-BCFC-4413-9148-6EA17170AF47}"/>
            </a:ext>
          </a:extLst>
        </xdr:cNvPr>
        <xdr:cNvGrpSpPr/>
      </xdr:nvGrpSpPr>
      <xdr:grpSpPr>
        <a:xfrm>
          <a:off x="2398760" y="2803569"/>
          <a:ext cx="12652841" cy="2735636"/>
          <a:chOff x="2488407" y="3345654"/>
          <a:chExt cx="12525373" cy="2726532"/>
        </a:xfrm>
      </xdr:grpSpPr>
      <xdr:sp macro="" textlink="">
        <xdr:nvSpPr>
          <xdr:cNvPr id="5" name="Retângulo: Cantos Arredondados 4">
            <a:extLst>
              <a:ext uri="{FF2B5EF4-FFF2-40B4-BE49-F238E27FC236}">
                <a16:creationId xmlns:a16="http://schemas.microsoft.com/office/drawing/2014/main" id="{EC27FFA9-B637-4887-96C6-F6F6734C74FC}"/>
              </a:ext>
            </a:extLst>
          </xdr:cNvPr>
          <xdr:cNvSpPr/>
        </xdr:nvSpPr>
        <xdr:spPr>
          <a:xfrm>
            <a:off x="2488408" y="3500436"/>
            <a:ext cx="12513467" cy="2571750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4" name="Gráfico 3">
            <a:extLst>
              <a:ext uri="{FF2B5EF4-FFF2-40B4-BE49-F238E27FC236}">
                <a16:creationId xmlns:a16="http://schemas.microsoft.com/office/drawing/2014/main" id="{37D8DB4F-42FF-490E-8A82-2443A9DE5847}"/>
              </a:ext>
            </a:extLst>
          </xdr:cNvPr>
          <xdr:cNvGraphicFramePr>
            <a:graphicFrameLocks/>
          </xdr:cNvGraphicFramePr>
        </xdr:nvGraphicFramePr>
        <xdr:xfrm>
          <a:off x="2704642" y="3726656"/>
          <a:ext cx="12059108" cy="223837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sp macro="" textlink="">
        <xdr:nvSpPr>
          <xdr:cNvPr id="41" name="Retângulo: Cantos Superiores Arredondados 40">
            <a:extLst>
              <a:ext uri="{FF2B5EF4-FFF2-40B4-BE49-F238E27FC236}">
                <a16:creationId xmlns:a16="http://schemas.microsoft.com/office/drawing/2014/main" id="{0632123E-B1BD-4B7A-A836-657AB7981A32}"/>
              </a:ext>
            </a:extLst>
          </xdr:cNvPr>
          <xdr:cNvSpPr/>
        </xdr:nvSpPr>
        <xdr:spPr>
          <a:xfrm>
            <a:off x="2488407" y="3345654"/>
            <a:ext cx="12525373" cy="667086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2400"/>
              <a:t>Total</a:t>
            </a:r>
            <a:r>
              <a:rPr lang="pt-BR" sz="2400" baseline="0"/>
              <a:t> Subscritions Xbox Game Pass</a:t>
            </a:r>
            <a:endParaRPr lang="pt-BR" sz="2400"/>
          </a:p>
        </xdr:txBody>
      </xdr:sp>
    </xdr:grpSp>
    <xdr:clientData/>
  </xdr:twoCellAnchor>
  <xdr:twoCellAnchor editAs="absolute">
    <xdr:from>
      <xdr:col>0</xdr:col>
      <xdr:colOff>595312</xdr:colOff>
      <xdr:row>1</xdr:row>
      <xdr:rowOff>11906</xdr:rowOff>
    </xdr:from>
    <xdr:to>
      <xdr:col>0</xdr:col>
      <xdr:colOff>1366837</xdr:colOff>
      <xdr:row>2</xdr:row>
      <xdr:rowOff>230700</xdr:rowOff>
    </xdr:to>
    <xdr:sp macro="" textlink="">
      <xdr:nvSpPr>
        <xdr:cNvPr id="21" name="Elipse 20">
          <a:extLst>
            <a:ext uri="{FF2B5EF4-FFF2-40B4-BE49-F238E27FC236}">
              <a16:creationId xmlns:a16="http://schemas.microsoft.com/office/drawing/2014/main" id="{10F4EF66-1BA2-403D-AFB7-D3B60D339040}"/>
            </a:ext>
          </a:extLst>
        </xdr:cNvPr>
        <xdr:cNvSpPr/>
      </xdr:nvSpPr>
      <xdr:spPr>
        <a:xfrm>
          <a:off x="595312" y="166687"/>
          <a:ext cx="771525" cy="657225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0</xdr:colOff>
      <xdr:row>2</xdr:row>
      <xdr:rowOff>275944</xdr:rowOff>
    </xdr:from>
    <xdr:to>
      <xdr:col>1</xdr:col>
      <xdr:colOff>0</xdr:colOff>
      <xdr:row>3</xdr:row>
      <xdr:rowOff>296255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0DA48F4E-7036-4822-9218-9FA335FA1449}"/>
            </a:ext>
          </a:extLst>
        </xdr:cNvPr>
        <xdr:cNvSpPr/>
      </xdr:nvSpPr>
      <xdr:spPr>
        <a:xfrm>
          <a:off x="0" y="869156"/>
          <a:ext cx="2035969" cy="309563"/>
        </a:xfrm>
        <a:prstGeom prst="round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200" b="1"/>
            <a:t>&gt;  Olá</a:t>
          </a:r>
          <a:r>
            <a:rPr lang="pt-BR" sz="1200" b="1" baseline="0"/>
            <a:t> Maria Helena</a:t>
          </a:r>
          <a:endParaRPr lang="pt-BR" sz="1200" b="1"/>
        </a:p>
      </xdr:txBody>
    </xdr:sp>
    <xdr:clientData/>
  </xdr:twoCellAnchor>
  <xdr:twoCellAnchor editAs="absolute">
    <xdr:from>
      <xdr:col>14</xdr:col>
      <xdr:colOff>119064</xdr:colOff>
      <xdr:row>28</xdr:row>
      <xdr:rowOff>92449</xdr:rowOff>
    </xdr:from>
    <xdr:to>
      <xdr:col>21</xdr:col>
      <xdr:colOff>428627</xdr:colOff>
      <xdr:row>30</xdr:row>
      <xdr:rowOff>32217</xdr:rowOff>
    </xdr:to>
    <xdr:sp macro="" textlink="">
      <xdr:nvSpPr>
        <xdr:cNvPr id="24" name="Retângulo: Cantos Arredondados 23">
          <a:extLst>
            <a:ext uri="{FF2B5EF4-FFF2-40B4-BE49-F238E27FC236}">
              <a16:creationId xmlns:a16="http://schemas.microsoft.com/office/drawing/2014/main" id="{E3DDFADB-48F3-4B04-B0B6-19A766ABA213}"/>
            </a:ext>
          </a:extLst>
        </xdr:cNvPr>
        <xdr:cNvSpPr/>
      </xdr:nvSpPr>
      <xdr:spPr>
        <a:xfrm>
          <a:off x="10191752" y="5679281"/>
          <a:ext cx="4964906" cy="297656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200" b="0" baseline="0">
              <a:solidFill>
                <a:schemeClr val="bg1">
                  <a:lumMod val="50000"/>
                </a:schemeClr>
              </a:solidFill>
            </a:rPr>
            <a:t>Calculation Period: 01/01/2024 até 31/12/2024 | Update date: 15/12/2025</a:t>
          </a:r>
        </a:p>
        <a:p>
          <a:pPr algn="l"/>
          <a:r>
            <a:rPr lang="pt-BR" sz="1200" b="0" baseline="0">
              <a:solidFill>
                <a:schemeClr val="bg1">
                  <a:lumMod val="50000"/>
                </a:schemeClr>
              </a:solidFill>
            </a:rPr>
            <a:t> </a:t>
          </a:r>
          <a:endParaRPr lang="pt-BR" sz="1200" b="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se Claudino" refreshedDate="46005.882430902777" createdVersion="7" refreshedVersion="7" minRefreshableVersion="3" recordCount="296" xr:uid="{8276AB2D-BDC7-40FD-88C8-09B35812B807}">
  <cacheSource type="worksheet">
    <worksheetSource ref="A1:M1048576" sheet="B̳ases"/>
  </cacheSource>
  <cacheFields count="13">
    <cacheField name="Subscriber ID" numFmtId="0">
      <sharedItems containsString="0" containsBlank="1" containsNumber="1" containsInteger="1" minValue="3231" maxValue="3525"/>
    </cacheField>
    <cacheField name="Name" numFmtId="0">
      <sharedItems containsBlank="1"/>
    </cacheField>
    <cacheField name="Plan" numFmtId="0">
      <sharedItems containsBlank="1" count="4">
        <s v="Ultimate"/>
        <s v="Core"/>
        <s v="Standard"/>
        <m/>
      </sharedItems>
    </cacheField>
    <cacheField name="Start Date" numFmtId="0">
      <sharedItems containsNonDate="0" containsDate="1" containsString="0" containsBlank="1" minDate="2024-01-01T00:00:00" maxDate="2024-12-17T00:00:00"/>
    </cacheField>
    <cacheField name="Auto Renewal" numFmtId="0">
      <sharedItems containsBlank="1" count="3">
        <s v="Yes"/>
        <s v="No"/>
        <m/>
      </sharedItems>
    </cacheField>
    <cacheField name="Subscription Price" numFmtId="0">
      <sharedItems containsString="0" containsBlank="1" containsNumber="1" containsInteger="1" minValue="5" maxValue="15"/>
    </cacheField>
    <cacheField name="Subscription Type" numFmtId="0">
      <sharedItems containsBlank="1" count="4">
        <s v="Monthly"/>
        <s v="Annual"/>
        <s v="Quarterly"/>
        <m/>
      </sharedItems>
    </cacheField>
    <cacheField name="EA Play Season Pass" numFmtId="0">
      <sharedItems containsBlank="1"/>
    </cacheField>
    <cacheField name="EA Play Season Pass_x000a_Price" numFmtId="0">
      <sharedItems containsBlank="1" containsMixedTypes="1" containsNumber="1" containsInteger="1" minValue="30" maxValue="30"/>
    </cacheField>
    <cacheField name="Minecraft Season Pass" numFmtId="0">
      <sharedItems containsBlank="1"/>
    </cacheField>
    <cacheField name="Minecraft Season Pass Price" numFmtId="0">
      <sharedItems containsString="0" containsBlank="1" containsNumber="1" containsInteger="1" minValue="0" maxValue="20" count="3">
        <n v="20"/>
        <n v="0"/>
        <m/>
      </sharedItems>
    </cacheField>
    <cacheField name="Coupon Value" numFmtId="0">
      <sharedItems containsString="0" containsBlank="1" containsNumber="1" containsInteger="1" minValue="0" maxValue="20"/>
    </cacheField>
    <cacheField name="Total Value" numFmtId="0">
      <sharedItems containsString="0" containsBlank="1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71029225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6">
  <r>
    <n v="3231"/>
    <s v="João Silva"/>
    <x v="0"/>
    <d v="2024-01-01T00:00:00"/>
    <x v="0"/>
    <n v="15"/>
    <x v="0"/>
    <s v="Yes"/>
    <n v="30"/>
    <s v="Yes"/>
    <x v="0"/>
    <n v="5"/>
    <n v="60"/>
  </r>
  <r>
    <n v="3232"/>
    <s v="Maria Oliveira"/>
    <x v="1"/>
    <d v="2024-01-15T00:00:00"/>
    <x v="1"/>
    <n v="5"/>
    <x v="1"/>
    <s v="No"/>
    <s v="-"/>
    <s v="No"/>
    <x v="1"/>
    <n v="0"/>
    <n v="5"/>
  </r>
  <r>
    <n v="3233"/>
    <s v="Lucas Fernandes"/>
    <x v="2"/>
    <d v="2024-02-10T00:00:00"/>
    <x v="0"/>
    <n v="10"/>
    <x v="2"/>
    <s v="No"/>
    <s v="-"/>
    <s v="Yes"/>
    <x v="0"/>
    <n v="10"/>
    <n v="20"/>
  </r>
  <r>
    <n v="3234"/>
    <s v="Ana Souza"/>
    <x v="0"/>
    <d v="2024-02-20T00:00:00"/>
    <x v="1"/>
    <n v="15"/>
    <x v="0"/>
    <s v="Yes"/>
    <n v="30"/>
    <s v="Yes"/>
    <x v="0"/>
    <n v="3"/>
    <n v="62"/>
  </r>
  <r>
    <n v="3235"/>
    <s v="Pedro Gonçalves"/>
    <x v="1"/>
    <d v="2024-03-05T00:00:00"/>
    <x v="0"/>
    <n v="5"/>
    <x v="0"/>
    <s v="No"/>
    <s v="-"/>
    <s v="No"/>
    <x v="1"/>
    <n v="1"/>
    <n v="4"/>
  </r>
  <r>
    <n v="3236"/>
    <s v="Felipe Costa"/>
    <x v="2"/>
    <d v="2024-03-02T00:00:00"/>
    <x v="1"/>
    <n v="10"/>
    <x v="0"/>
    <s v="No"/>
    <s v="-"/>
    <s v="Yes"/>
    <x v="0"/>
    <n v="2"/>
    <n v="28"/>
  </r>
  <r>
    <n v="3237"/>
    <s v="Camila Ribeiro"/>
    <x v="0"/>
    <d v="2024-03-03T00:00:00"/>
    <x v="0"/>
    <n v="15"/>
    <x v="2"/>
    <s v="Yes"/>
    <n v="30"/>
    <s v="Yes"/>
    <x v="0"/>
    <n v="10"/>
    <n v="55"/>
  </r>
  <r>
    <n v="3238"/>
    <s v="André Mendes"/>
    <x v="1"/>
    <d v="2024-03-04T00:00:00"/>
    <x v="0"/>
    <n v="5"/>
    <x v="1"/>
    <s v="No"/>
    <s v="-"/>
    <s v="No"/>
    <x v="1"/>
    <n v="0"/>
    <n v="5"/>
  </r>
  <r>
    <n v="3239"/>
    <s v="Sofia Almeida"/>
    <x v="0"/>
    <d v="2024-03-05T00:00:00"/>
    <x v="1"/>
    <n v="15"/>
    <x v="0"/>
    <s v="Yes"/>
    <n v="30"/>
    <s v="Yes"/>
    <x v="0"/>
    <n v="5"/>
    <n v="60"/>
  </r>
  <r>
    <n v="3240"/>
    <s v="Bruno Martins"/>
    <x v="2"/>
    <d v="2024-03-06T00:00:00"/>
    <x v="0"/>
    <n v="10"/>
    <x v="2"/>
    <s v="No"/>
    <s v="-"/>
    <s v="Yes"/>
    <x v="0"/>
    <n v="15"/>
    <n v="15"/>
  </r>
  <r>
    <n v="3241"/>
    <s v="Rita Castro"/>
    <x v="1"/>
    <d v="2024-03-07T00:00:00"/>
    <x v="1"/>
    <n v="5"/>
    <x v="0"/>
    <s v="No"/>
    <s v="-"/>
    <s v="No"/>
    <x v="1"/>
    <n v="1"/>
    <n v="4"/>
  </r>
  <r>
    <n v="3242"/>
    <s v="Marco Túlio"/>
    <x v="0"/>
    <d v="2024-03-08T00:00:00"/>
    <x v="0"/>
    <n v="15"/>
    <x v="1"/>
    <s v="Yes"/>
    <n v="30"/>
    <s v="Yes"/>
    <x v="0"/>
    <n v="20"/>
    <n v="45"/>
  </r>
  <r>
    <n v="3243"/>
    <s v="Lívia Silveira"/>
    <x v="2"/>
    <d v="2024-03-09T00:00:00"/>
    <x v="1"/>
    <n v="10"/>
    <x v="0"/>
    <s v="No"/>
    <s v="-"/>
    <s v="Yes"/>
    <x v="0"/>
    <n v="10"/>
    <n v="20"/>
  </r>
  <r>
    <n v="3244"/>
    <s v="Diogo Sousa"/>
    <x v="1"/>
    <d v="2024-03-10T00:00:00"/>
    <x v="0"/>
    <n v="5"/>
    <x v="2"/>
    <s v="No"/>
    <s v="-"/>
    <s v="No"/>
    <x v="1"/>
    <n v="0"/>
    <n v="5"/>
  </r>
  <r>
    <n v="3245"/>
    <s v="Fernanda Lima"/>
    <x v="0"/>
    <d v="2024-03-11T00:00:00"/>
    <x v="1"/>
    <n v="15"/>
    <x v="0"/>
    <s v="Yes"/>
    <n v="30"/>
    <s v="Yes"/>
    <x v="0"/>
    <n v="8"/>
    <n v="57"/>
  </r>
  <r>
    <n v="3246"/>
    <s v="Caio Pereira"/>
    <x v="2"/>
    <d v="2024-03-12T00:00:00"/>
    <x v="0"/>
    <n v="10"/>
    <x v="1"/>
    <s v="No"/>
    <s v="-"/>
    <s v="Yes"/>
    <x v="0"/>
    <n v="12"/>
    <n v="18"/>
  </r>
  <r>
    <n v="3247"/>
    <s v="Beatriz Gomes"/>
    <x v="1"/>
    <d v="2024-03-13T00:00:00"/>
    <x v="1"/>
    <n v="5"/>
    <x v="0"/>
    <s v="No"/>
    <s v="-"/>
    <s v="No"/>
    <x v="1"/>
    <n v="2"/>
    <n v="3"/>
  </r>
  <r>
    <n v="3248"/>
    <s v="Cesar Oliveira"/>
    <x v="0"/>
    <d v="2024-03-14T00:00:00"/>
    <x v="0"/>
    <n v="15"/>
    <x v="2"/>
    <s v="Yes"/>
    <n v="30"/>
    <s v="Yes"/>
    <x v="0"/>
    <n v="7"/>
    <n v="58"/>
  </r>
  <r>
    <n v="3249"/>
    <s v="Débora Machado"/>
    <x v="2"/>
    <d v="2024-03-15T00:00:00"/>
    <x v="1"/>
    <n v="10"/>
    <x v="0"/>
    <s v="No"/>
    <s v="-"/>
    <s v="Yes"/>
    <x v="0"/>
    <n v="5"/>
    <n v="25"/>
  </r>
  <r>
    <n v="3250"/>
    <s v="Eduardo Vargas"/>
    <x v="1"/>
    <d v="2024-03-16T00:00:00"/>
    <x v="0"/>
    <n v="5"/>
    <x v="1"/>
    <s v="No"/>
    <s v="-"/>
    <s v="No"/>
    <x v="1"/>
    <n v="0"/>
    <n v="5"/>
  </r>
  <r>
    <n v="3251"/>
    <s v="Gabriela Santos"/>
    <x v="0"/>
    <d v="2024-03-17T00:00:00"/>
    <x v="1"/>
    <n v="15"/>
    <x v="0"/>
    <s v="Yes"/>
    <n v="30"/>
    <s v="Yes"/>
    <x v="0"/>
    <n v="3"/>
    <n v="62"/>
  </r>
  <r>
    <n v="3252"/>
    <s v="Henrique Dias"/>
    <x v="2"/>
    <d v="2024-03-18T00:00:00"/>
    <x v="0"/>
    <n v="10"/>
    <x v="2"/>
    <s v="No"/>
    <s v="-"/>
    <s v="Yes"/>
    <x v="0"/>
    <n v="15"/>
    <n v="15"/>
  </r>
  <r>
    <n v="3253"/>
    <s v="Isabela Moreira"/>
    <x v="1"/>
    <d v="2024-03-19T00:00:00"/>
    <x v="1"/>
    <n v="5"/>
    <x v="0"/>
    <s v="No"/>
    <s v="-"/>
    <s v="No"/>
    <x v="1"/>
    <n v="1"/>
    <n v="4"/>
  </r>
  <r>
    <n v="3254"/>
    <s v="Joaquim Barbosa"/>
    <x v="0"/>
    <d v="2024-03-20T00:00:00"/>
    <x v="0"/>
    <n v="15"/>
    <x v="1"/>
    <s v="Yes"/>
    <n v="30"/>
    <s v="Yes"/>
    <x v="0"/>
    <n v="20"/>
    <n v="45"/>
  </r>
  <r>
    <n v="3255"/>
    <s v="Lara Rocha"/>
    <x v="2"/>
    <d v="2024-03-21T00:00:00"/>
    <x v="1"/>
    <n v="10"/>
    <x v="0"/>
    <s v="No"/>
    <s v="-"/>
    <s v="Yes"/>
    <x v="0"/>
    <n v="10"/>
    <n v="20"/>
  </r>
  <r>
    <n v="3256"/>
    <s v="Matheus Silva"/>
    <x v="1"/>
    <d v="2024-03-22T00:00:00"/>
    <x v="0"/>
    <n v="5"/>
    <x v="2"/>
    <s v="No"/>
    <s v="-"/>
    <s v="No"/>
    <x v="1"/>
    <n v="0"/>
    <n v="5"/>
  </r>
  <r>
    <n v="3257"/>
    <s v="Nicole Costa"/>
    <x v="0"/>
    <d v="2024-03-23T00:00:00"/>
    <x v="1"/>
    <n v="15"/>
    <x v="0"/>
    <s v="Yes"/>
    <n v="30"/>
    <s v="Yes"/>
    <x v="0"/>
    <n v="5"/>
    <n v="60"/>
  </r>
  <r>
    <n v="3258"/>
    <s v="Otávio Mendonça"/>
    <x v="2"/>
    <d v="2024-03-24T00:00:00"/>
    <x v="0"/>
    <n v="10"/>
    <x v="1"/>
    <s v="No"/>
    <s v="-"/>
    <s v="Yes"/>
    <x v="0"/>
    <n v="15"/>
    <n v="15"/>
  </r>
  <r>
    <n v="3259"/>
    <s v="Paula Ferreira"/>
    <x v="1"/>
    <d v="2024-03-25T00:00:00"/>
    <x v="1"/>
    <n v="5"/>
    <x v="0"/>
    <s v="No"/>
    <s v="-"/>
    <s v="No"/>
    <x v="1"/>
    <n v="1"/>
    <n v="4"/>
  </r>
  <r>
    <n v="3260"/>
    <s v="Raquel Alves"/>
    <x v="0"/>
    <d v="2024-03-26T00:00:00"/>
    <x v="0"/>
    <n v="15"/>
    <x v="2"/>
    <s v="Yes"/>
    <n v="30"/>
    <s v="Yes"/>
    <x v="0"/>
    <n v="7"/>
    <n v="58"/>
  </r>
  <r>
    <n v="3261"/>
    <s v="Samuel Pires"/>
    <x v="2"/>
    <d v="2024-03-27T00:00:00"/>
    <x v="1"/>
    <n v="10"/>
    <x v="0"/>
    <s v="No"/>
    <s v="-"/>
    <s v="Yes"/>
    <x v="0"/>
    <n v="10"/>
    <n v="20"/>
  </r>
  <r>
    <n v="3262"/>
    <s v="Tânia Barros"/>
    <x v="1"/>
    <d v="2024-03-28T00:00:00"/>
    <x v="0"/>
    <n v="5"/>
    <x v="1"/>
    <s v="No"/>
    <s v="-"/>
    <s v="No"/>
    <x v="1"/>
    <n v="0"/>
    <n v="5"/>
  </r>
  <r>
    <n v="3263"/>
    <s v="Vinicius Lima"/>
    <x v="0"/>
    <d v="2024-03-29T00:00:00"/>
    <x v="1"/>
    <n v="15"/>
    <x v="0"/>
    <s v="Yes"/>
    <n v="30"/>
    <s v="Yes"/>
    <x v="0"/>
    <n v="3"/>
    <n v="62"/>
  </r>
  <r>
    <n v="3264"/>
    <s v="Yasmin Teixeira"/>
    <x v="2"/>
    <d v="2024-03-30T00:00:00"/>
    <x v="0"/>
    <n v="10"/>
    <x v="2"/>
    <s v="No"/>
    <s v="-"/>
    <s v="Yes"/>
    <x v="0"/>
    <n v="15"/>
    <n v="15"/>
  </r>
  <r>
    <n v="3265"/>
    <s v="Zé Carlos"/>
    <x v="1"/>
    <d v="2024-03-31T00:00:00"/>
    <x v="1"/>
    <n v="5"/>
    <x v="0"/>
    <s v="No"/>
    <s v="-"/>
    <s v="No"/>
    <x v="1"/>
    <n v="1"/>
    <n v="4"/>
  </r>
  <r>
    <n v="3266"/>
    <s v="Amanda Nogueira"/>
    <x v="1"/>
    <d v="2024-04-01T00:00:00"/>
    <x v="0"/>
    <n v="5"/>
    <x v="0"/>
    <s v="No"/>
    <s v="-"/>
    <s v="No"/>
    <x v="1"/>
    <n v="0"/>
    <n v="5"/>
  </r>
  <r>
    <n v="3267"/>
    <s v="Bruno Cavalheiro"/>
    <x v="0"/>
    <d v="2024-04-02T00:00:00"/>
    <x v="1"/>
    <n v="15"/>
    <x v="2"/>
    <s v="Yes"/>
    <n v="30"/>
    <s v="Yes"/>
    <x v="0"/>
    <n v="7"/>
    <n v="58"/>
  </r>
  <r>
    <n v="3268"/>
    <s v="Carla Dias"/>
    <x v="2"/>
    <d v="2024-04-03T00:00:00"/>
    <x v="0"/>
    <n v="10"/>
    <x v="1"/>
    <s v="No"/>
    <s v="-"/>
    <s v="Yes"/>
    <x v="0"/>
    <n v="10"/>
    <n v="20"/>
  </r>
  <r>
    <n v="3269"/>
    <s v="Diego Fontes"/>
    <x v="1"/>
    <d v="2024-04-04T00:00:00"/>
    <x v="1"/>
    <n v="5"/>
    <x v="2"/>
    <s v="No"/>
    <s v="-"/>
    <s v="No"/>
    <x v="1"/>
    <n v="1"/>
    <n v="4"/>
  </r>
  <r>
    <n v="3270"/>
    <s v="Eunice Lima"/>
    <x v="0"/>
    <d v="2024-04-05T00:00:00"/>
    <x v="0"/>
    <n v="15"/>
    <x v="0"/>
    <s v="Yes"/>
    <n v="30"/>
    <s v="Yes"/>
    <x v="0"/>
    <n v="15"/>
    <n v="50"/>
  </r>
  <r>
    <n v="3271"/>
    <s v="Fábio Martins"/>
    <x v="2"/>
    <d v="2024-04-06T00:00:00"/>
    <x v="1"/>
    <n v="10"/>
    <x v="0"/>
    <s v="No"/>
    <s v="-"/>
    <s v="Yes"/>
    <x v="0"/>
    <n v="5"/>
    <n v="25"/>
  </r>
  <r>
    <n v="3272"/>
    <s v="Gisele Araújo"/>
    <x v="1"/>
    <d v="2024-04-07T00:00:00"/>
    <x v="0"/>
    <n v="5"/>
    <x v="1"/>
    <s v="No"/>
    <s v="-"/>
    <s v="No"/>
    <x v="1"/>
    <n v="0"/>
    <n v="5"/>
  </r>
  <r>
    <n v="3273"/>
    <s v="Hélio Castro"/>
    <x v="0"/>
    <d v="2024-04-08T00:00:00"/>
    <x v="1"/>
    <n v="15"/>
    <x v="2"/>
    <s v="Yes"/>
    <n v="30"/>
    <s v="Yes"/>
    <x v="0"/>
    <n v="20"/>
    <n v="45"/>
  </r>
  <r>
    <n v="3274"/>
    <s v="Ingrid Menezes"/>
    <x v="2"/>
    <d v="2024-04-09T00:00:00"/>
    <x v="0"/>
    <n v="10"/>
    <x v="2"/>
    <s v="No"/>
    <s v="-"/>
    <s v="Yes"/>
    <x v="0"/>
    <n v="12"/>
    <n v="18"/>
  </r>
  <r>
    <n v="3275"/>
    <s v="Jorge Baptista"/>
    <x v="1"/>
    <d v="2024-04-10T00:00:00"/>
    <x v="1"/>
    <n v="5"/>
    <x v="0"/>
    <s v="No"/>
    <s v="-"/>
    <s v="No"/>
    <x v="1"/>
    <n v="2"/>
    <n v="3"/>
  </r>
  <r>
    <n v="3276"/>
    <s v="Kléber Oliveira"/>
    <x v="0"/>
    <d v="2024-04-11T00:00:00"/>
    <x v="0"/>
    <n v="15"/>
    <x v="1"/>
    <s v="Yes"/>
    <n v="30"/>
    <s v="Yes"/>
    <x v="0"/>
    <n v="5"/>
    <n v="60"/>
  </r>
  <r>
    <n v="3277"/>
    <s v="Luciana Freitas"/>
    <x v="2"/>
    <d v="2024-04-12T00:00:00"/>
    <x v="1"/>
    <n v="10"/>
    <x v="0"/>
    <s v="No"/>
    <s v="-"/>
    <s v="Yes"/>
    <x v="0"/>
    <n v="10"/>
    <n v="20"/>
  </r>
  <r>
    <n v="3278"/>
    <s v="Márcia Eller"/>
    <x v="1"/>
    <d v="2024-04-13T00:00:00"/>
    <x v="0"/>
    <n v="5"/>
    <x v="2"/>
    <s v="No"/>
    <s v="-"/>
    <s v="No"/>
    <x v="1"/>
    <n v="0"/>
    <n v="5"/>
  </r>
  <r>
    <n v="3279"/>
    <s v="Nilo Peçanha"/>
    <x v="0"/>
    <d v="2024-04-14T00:00:00"/>
    <x v="1"/>
    <n v="15"/>
    <x v="0"/>
    <s v="Yes"/>
    <n v="30"/>
    <s v="Yes"/>
    <x v="0"/>
    <n v="3"/>
    <n v="62"/>
  </r>
  <r>
    <n v="3280"/>
    <s v="Oscar Neves"/>
    <x v="2"/>
    <d v="2024-04-15T00:00:00"/>
    <x v="0"/>
    <n v="10"/>
    <x v="1"/>
    <s v="No"/>
    <s v="-"/>
    <s v="Yes"/>
    <x v="0"/>
    <n v="15"/>
    <n v="15"/>
  </r>
  <r>
    <n v="3281"/>
    <s v="Patrícia Soares"/>
    <x v="1"/>
    <d v="2024-04-16T00:00:00"/>
    <x v="1"/>
    <n v="5"/>
    <x v="0"/>
    <s v="No"/>
    <s v="-"/>
    <s v="No"/>
    <x v="1"/>
    <n v="1"/>
    <n v="4"/>
  </r>
  <r>
    <n v="3282"/>
    <s v="Quirino Gonçalves"/>
    <x v="0"/>
    <d v="2024-04-17T00:00:00"/>
    <x v="0"/>
    <n v="15"/>
    <x v="2"/>
    <s v="Yes"/>
    <n v="30"/>
    <s v="Yes"/>
    <x v="0"/>
    <n v="7"/>
    <n v="58"/>
  </r>
  <r>
    <n v="3283"/>
    <s v="Raul Machado"/>
    <x v="2"/>
    <d v="2024-04-18T00:00:00"/>
    <x v="1"/>
    <n v="10"/>
    <x v="0"/>
    <s v="No"/>
    <s v="-"/>
    <s v="Yes"/>
    <x v="0"/>
    <n v="10"/>
    <n v="20"/>
  </r>
  <r>
    <n v="3284"/>
    <s v="Sônia Lobo"/>
    <x v="1"/>
    <d v="2024-04-19T00:00:00"/>
    <x v="0"/>
    <n v="5"/>
    <x v="1"/>
    <s v="No"/>
    <s v="-"/>
    <s v="No"/>
    <x v="1"/>
    <n v="0"/>
    <n v="5"/>
  </r>
  <r>
    <n v="3285"/>
    <s v="Tiago Ramos"/>
    <x v="0"/>
    <d v="2024-04-20T00:00:00"/>
    <x v="1"/>
    <n v="15"/>
    <x v="0"/>
    <s v="Yes"/>
    <n v="30"/>
    <s v="Yes"/>
    <x v="0"/>
    <n v="20"/>
    <n v="45"/>
  </r>
  <r>
    <n v="3286"/>
    <s v="Ugo Pires"/>
    <x v="2"/>
    <d v="2024-04-21T00:00:00"/>
    <x v="0"/>
    <n v="10"/>
    <x v="2"/>
    <s v="No"/>
    <s v="-"/>
    <s v="Yes"/>
    <x v="0"/>
    <n v="15"/>
    <n v="15"/>
  </r>
  <r>
    <n v="3287"/>
    <s v="Valéria Nobre"/>
    <x v="1"/>
    <d v="2024-04-22T00:00:00"/>
    <x v="1"/>
    <n v="5"/>
    <x v="0"/>
    <s v="No"/>
    <s v="-"/>
    <s v="No"/>
    <x v="1"/>
    <n v="1"/>
    <n v="4"/>
  </r>
  <r>
    <n v="3288"/>
    <s v="William Siqueira"/>
    <x v="0"/>
    <d v="2024-04-23T00:00:00"/>
    <x v="0"/>
    <n v="15"/>
    <x v="1"/>
    <s v="Yes"/>
    <n v="30"/>
    <s v="Yes"/>
    <x v="0"/>
    <n v="3"/>
    <n v="62"/>
  </r>
  <r>
    <n v="3289"/>
    <s v="Xuxa Meneghel"/>
    <x v="2"/>
    <d v="2024-04-24T00:00:00"/>
    <x v="1"/>
    <n v="10"/>
    <x v="0"/>
    <s v="No"/>
    <s v="-"/>
    <s v="Yes"/>
    <x v="0"/>
    <n v="10"/>
    <n v="20"/>
  </r>
  <r>
    <n v="3290"/>
    <s v="Yara Figueiredo"/>
    <x v="1"/>
    <d v="2024-04-25T00:00:00"/>
    <x v="0"/>
    <n v="5"/>
    <x v="2"/>
    <s v="No"/>
    <s v="-"/>
    <s v="No"/>
    <x v="1"/>
    <n v="0"/>
    <n v="5"/>
  </r>
  <r>
    <n v="3291"/>
    <s v="Zacarias Alves"/>
    <x v="0"/>
    <d v="2024-04-26T00:00:00"/>
    <x v="1"/>
    <n v="15"/>
    <x v="0"/>
    <s v="Yes"/>
    <n v="30"/>
    <s v="Yes"/>
    <x v="0"/>
    <n v="5"/>
    <n v="60"/>
  </r>
  <r>
    <n v="3292"/>
    <s v="Amanda Bynes"/>
    <x v="2"/>
    <d v="2024-04-27T00:00:00"/>
    <x v="0"/>
    <n v="10"/>
    <x v="1"/>
    <s v="No"/>
    <s v="-"/>
    <s v="Yes"/>
    <x v="0"/>
    <n v="15"/>
    <n v="15"/>
  </r>
  <r>
    <n v="3293"/>
    <s v="Bruno Mars"/>
    <x v="1"/>
    <d v="2024-04-28T00:00:00"/>
    <x v="1"/>
    <n v="5"/>
    <x v="0"/>
    <s v="No"/>
    <s v="-"/>
    <s v="No"/>
    <x v="1"/>
    <n v="1"/>
    <n v="4"/>
  </r>
  <r>
    <n v="3294"/>
    <s v="Carla Bruni"/>
    <x v="0"/>
    <d v="2024-04-29T00:00:00"/>
    <x v="0"/>
    <n v="15"/>
    <x v="2"/>
    <s v="Yes"/>
    <n v="30"/>
    <s v="Yes"/>
    <x v="0"/>
    <n v="20"/>
    <n v="45"/>
  </r>
  <r>
    <n v="3295"/>
    <s v="Diego Maradona"/>
    <x v="2"/>
    <d v="2024-04-30T00:00:00"/>
    <x v="1"/>
    <n v="10"/>
    <x v="0"/>
    <s v="No"/>
    <s v="-"/>
    <s v="Yes"/>
    <x v="0"/>
    <n v="5"/>
    <n v="25"/>
  </r>
  <r>
    <n v="3296"/>
    <s v="Estela Marques"/>
    <x v="1"/>
    <d v="2024-05-01T00:00:00"/>
    <x v="1"/>
    <n v="5"/>
    <x v="0"/>
    <s v="No"/>
    <s v="-"/>
    <s v="No"/>
    <x v="1"/>
    <n v="0"/>
    <n v="5"/>
  </r>
  <r>
    <n v="3297"/>
    <s v="Fábio Nobre"/>
    <x v="0"/>
    <d v="2024-05-02T00:00:00"/>
    <x v="0"/>
    <n v="15"/>
    <x v="2"/>
    <s v="Yes"/>
    <n v="30"/>
    <s v="Yes"/>
    <x v="0"/>
    <n v="7"/>
    <n v="58"/>
  </r>
  <r>
    <n v="3298"/>
    <s v="Gabriel Oliveira"/>
    <x v="2"/>
    <d v="2024-05-03T00:00:00"/>
    <x v="1"/>
    <n v="10"/>
    <x v="1"/>
    <s v="No"/>
    <s v="-"/>
    <s v="Yes"/>
    <x v="0"/>
    <n v="10"/>
    <n v="20"/>
  </r>
  <r>
    <n v="3299"/>
    <s v="Helena Santos"/>
    <x v="1"/>
    <d v="2024-05-04T00:00:00"/>
    <x v="0"/>
    <n v="5"/>
    <x v="2"/>
    <s v="No"/>
    <s v="-"/>
    <s v="No"/>
    <x v="1"/>
    <n v="1"/>
    <n v="4"/>
  </r>
  <r>
    <n v="3300"/>
    <s v="Ivan Carvalho"/>
    <x v="0"/>
    <d v="2024-05-05T00:00:00"/>
    <x v="1"/>
    <n v="15"/>
    <x v="0"/>
    <s v="Yes"/>
    <n v="30"/>
    <s v="Yes"/>
    <x v="0"/>
    <n v="15"/>
    <n v="50"/>
  </r>
  <r>
    <n v="3301"/>
    <s v="Júlia Ferreira"/>
    <x v="2"/>
    <d v="2024-05-06T00:00:00"/>
    <x v="0"/>
    <n v="10"/>
    <x v="0"/>
    <s v="No"/>
    <s v="-"/>
    <s v="Yes"/>
    <x v="0"/>
    <n v="5"/>
    <n v="25"/>
  </r>
  <r>
    <n v="3302"/>
    <s v="Karla Alves"/>
    <x v="1"/>
    <d v="2024-05-07T00:00:00"/>
    <x v="1"/>
    <n v="5"/>
    <x v="1"/>
    <s v="No"/>
    <s v="-"/>
    <s v="No"/>
    <x v="1"/>
    <n v="0"/>
    <n v="5"/>
  </r>
  <r>
    <n v="3303"/>
    <s v="Lucas Mendes"/>
    <x v="0"/>
    <d v="2024-05-08T00:00:00"/>
    <x v="0"/>
    <n v="15"/>
    <x v="2"/>
    <s v="Yes"/>
    <n v="30"/>
    <s v="Yes"/>
    <x v="0"/>
    <n v="20"/>
    <n v="45"/>
  </r>
  <r>
    <n v="3304"/>
    <s v="Mônica Gomes"/>
    <x v="2"/>
    <d v="2024-05-09T00:00:00"/>
    <x v="1"/>
    <n v="10"/>
    <x v="2"/>
    <s v="No"/>
    <s v="-"/>
    <s v="Yes"/>
    <x v="0"/>
    <n v="12"/>
    <n v="18"/>
  </r>
  <r>
    <n v="3305"/>
    <s v="Norberto Queiroz"/>
    <x v="1"/>
    <d v="2024-05-10T00:00:00"/>
    <x v="0"/>
    <n v="5"/>
    <x v="0"/>
    <s v="No"/>
    <s v="-"/>
    <s v="No"/>
    <x v="1"/>
    <n v="2"/>
    <n v="3"/>
  </r>
  <r>
    <n v="3306"/>
    <s v="Otávio Barros"/>
    <x v="0"/>
    <d v="2024-05-11T00:00:00"/>
    <x v="1"/>
    <n v="15"/>
    <x v="1"/>
    <s v="Yes"/>
    <n v="30"/>
    <s v="Yes"/>
    <x v="0"/>
    <n v="5"/>
    <n v="60"/>
  </r>
  <r>
    <n v="3307"/>
    <s v="Paula Vieira"/>
    <x v="2"/>
    <d v="2024-05-12T00:00:00"/>
    <x v="0"/>
    <n v="10"/>
    <x v="0"/>
    <s v="No"/>
    <s v="-"/>
    <s v="Yes"/>
    <x v="0"/>
    <n v="10"/>
    <n v="20"/>
  </r>
  <r>
    <n v="3308"/>
    <s v="Quentin Ramos"/>
    <x v="1"/>
    <d v="2024-05-13T00:00:00"/>
    <x v="1"/>
    <n v="5"/>
    <x v="2"/>
    <s v="No"/>
    <s v="-"/>
    <s v="No"/>
    <x v="1"/>
    <n v="0"/>
    <n v="5"/>
  </r>
  <r>
    <n v="3309"/>
    <s v="Raquel Novaes"/>
    <x v="0"/>
    <d v="2024-05-14T00:00:00"/>
    <x v="0"/>
    <n v="15"/>
    <x v="0"/>
    <s v="Yes"/>
    <n v="30"/>
    <s v="Yes"/>
    <x v="0"/>
    <n v="3"/>
    <n v="62"/>
  </r>
  <r>
    <n v="3310"/>
    <s v="Samantha Lopes"/>
    <x v="2"/>
    <d v="2024-05-15T00:00:00"/>
    <x v="1"/>
    <n v="10"/>
    <x v="1"/>
    <s v="No"/>
    <s v="-"/>
    <s v="Yes"/>
    <x v="0"/>
    <n v="15"/>
    <n v="15"/>
  </r>
  <r>
    <n v="3311"/>
    <s v="Tiago Martins"/>
    <x v="1"/>
    <d v="2024-05-16T00:00:00"/>
    <x v="0"/>
    <n v="5"/>
    <x v="0"/>
    <s v="No"/>
    <s v="-"/>
    <s v="No"/>
    <x v="1"/>
    <n v="1"/>
    <n v="4"/>
  </r>
  <r>
    <n v="3312"/>
    <s v="Ulysses Guimarães"/>
    <x v="0"/>
    <d v="2024-05-17T00:00:00"/>
    <x v="1"/>
    <n v="15"/>
    <x v="2"/>
    <s v="Yes"/>
    <n v="30"/>
    <s v="Yes"/>
    <x v="0"/>
    <n v="7"/>
    <n v="58"/>
  </r>
  <r>
    <n v="3313"/>
    <s v="Vanessa Silva"/>
    <x v="2"/>
    <d v="2024-05-18T00:00:00"/>
    <x v="0"/>
    <n v="10"/>
    <x v="0"/>
    <s v="No"/>
    <s v="-"/>
    <s v="Yes"/>
    <x v="0"/>
    <n v="10"/>
    <n v="20"/>
  </r>
  <r>
    <n v="3314"/>
    <s v="William Carneiro"/>
    <x v="1"/>
    <d v="2024-05-19T00:00:00"/>
    <x v="1"/>
    <n v="5"/>
    <x v="1"/>
    <s v="No"/>
    <s v="-"/>
    <s v="No"/>
    <x v="1"/>
    <n v="0"/>
    <n v="5"/>
  </r>
  <r>
    <n v="3315"/>
    <s v="Ximena Rocha"/>
    <x v="0"/>
    <d v="2024-05-20T00:00:00"/>
    <x v="0"/>
    <n v="15"/>
    <x v="0"/>
    <s v="Yes"/>
    <n v="30"/>
    <s v="Yes"/>
    <x v="0"/>
    <n v="20"/>
    <n v="45"/>
  </r>
  <r>
    <n v="3316"/>
    <s v="Yasmin Figueiredo"/>
    <x v="2"/>
    <d v="2024-05-21T00:00:00"/>
    <x v="1"/>
    <n v="10"/>
    <x v="2"/>
    <s v="No"/>
    <s v="-"/>
    <s v="Yes"/>
    <x v="0"/>
    <n v="15"/>
    <n v="15"/>
  </r>
  <r>
    <n v="3317"/>
    <s v="Zara Cunha"/>
    <x v="1"/>
    <d v="2024-05-22T00:00:00"/>
    <x v="0"/>
    <n v="5"/>
    <x v="0"/>
    <s v="No"/>
    <s v="-"/>
    <s v="No"/>
    <x v="1"/>
    <n v="1"/>
    <n v="4"/>
  </r>
  <r>
    <n v="3318"/>
    <s v="Alan Teixeira"/>
    <x v="0"/>
    <d v="2024-05-23T00:00:00"/>
    <x v="1"/>
    <n v="15"/>
    <x v="1"/>
    <s v="Yes"/>
    <n v="30"/>
    <s v="Yes"/>
    <x v="0"/>
    <n v="3"/>
    <n v="62"/>
  </r>
  <r>
    <n v="3319"/>
    <s v="Bárbara Oliveira"/>
    <x v="2"/>
    <d v="2024-05-24T00:00:00"/>
    <x v="0"/>
    <n v="10"/>
    <x v="0"/>
    <s v="No"/>
    <s v="-"/>
    <s v="Yes"/>
    <x v="0"/>
    <n v="10"/>
    <n v="20"/>
  </r>
  <r>
    <n v="3320"/>
    <s v="Carlos Junqueira"/>
    <x v="1"/>
    <d v="2024-05-25T00:00:00"/>
    <x v="1"/>
    <n v="5"/>
    <x v="2"/>
    <s v="No"/>
    <s v="-"/>
    <s v="No"/>
    <x v="1"/>
    <n v="0"/>
    <n v="5"/>
  </r>
  <r>
    <n v="3321"/>
    <s v="Daniela Moura"/>
    <x v="0"/>
    <d v="2024-05-26T00:00:00"/>
    <x v="0"/>
    <n v="15"/>
    <x v="0"/>
    <s v="Yes"/>
    <n v="30"/>
    <s v="Yes"/>
    <x v="0"/>
    <n v="5"/>
    <n v="60"/>
  </r>
  <r>
    <n v="3322"/>
    <s v="Eduardo Lima"/>
    <x v="2"/>
    <d v="2024-05-27T00:00:00"/>
    <x v="1"/>
    <n v="10"/>
    <x v="1"/>
    <s v="No"/>
    <s v="-"/>
    <s v="Yes"/>
    <x v="0"/>
    <n v="15"/>
    <n v="15"/>
  </r>
  <r>
    <n v="3323"/>
    <s v="Fabiana Araújo"/>
    <x v="1"/>
    <d v="2024-05-28T00:00:00"/>
    <x v="0"/>
    <n v="5"/>
    <x v="0"/>
    <s v="No"/>
    <s v="-"/>
    <s v="No"/>
    <x v="1"/>
    <n v="1"/>
    <n v="4"/>
  </r>
  <r>
    <n v="3324"/>
    <s v="Geraldo Ribeiro"/>
    <x v="0"/>
    <d v="2024-05-29T00:00:00"/>
    <x v="1"/>
    <n v="15"/>
    <x v="2"/>
    <s v="Yes"/>
    <n v="30"/>
    <s v="Yes"/>
    <x v="0"/>
    <n v="20"/>
    <n v="45"/>
  </r>
  <r>
    <n v="3325"/>
    <s v="Héctor Vargas"/>
    <x v="2"/>
    <d v="2024-05-30T00:00:00"/>
    <x v="0"/>
    <n v="10"/>
    <x v="2"/>
    <s v="No"/>
    <s v="-"/>
    <s v="Yes"/>
    <x v="0"/>
    <n v="15"/>
    <n v="15"/>
  </r>
  <r>
    <n v="3326"/>
    <s v="Isabela Fonseca"/>
    <x v="1"/>
    <d v="2024-05-31T00:00:00"/>
    <x v="1"/>
    <n v="5"/>
    <x v="1"/>
    <s v="No"/>
    <s v="-"/>
    <s v="No"/>
    <x v="1"/>
    <n v="0"/>
    <n v="5"/>
  </r>
  <r>
    <n v="3327"/>
    <s v="João Pedro Almeida"/>
    <x v="0"/>
    <d v="2024-06-01T00:00:00"/>
    <x v="0"/>
    <n v="15"/>
    <x v="0"/>
    <s v="Yes"/>
    <n v="30"/>
    <s v="Yes"/>
    <x v="0"/>
    <n v="7"/>
    <n v="58"/>
  </r>
  <r>
    <n v="3328"/>
    <s v="Klara Costa"/>
    <x v="2"/>
    <d v="2024-06-02T00:00:00"/>
    <x v="1"/>
    <n v="10"/>
    <x v="1"/>
    <s v="No"/>
    <s v="-"/>
    <s v="Yes"/>
    <x v="0"/>
    <n v="10"/>
    <n v="20"/>
  </r>
  <r>
    <n v="3329"/>
    <s v="Luciana Mendes"/>
    <x v="1"/>
    <d v="2024-06-03T00:00:00"/>
    <x v="0"/>
    <n v="5"/>
    <x v="2"/>
    <s v="No"/>
    <s v="-"/>
    <s v="No"/>
    <x v="1"/>
    <n v="1"/>
    <n v="4"/>
  </r>
  <r>
    <n v="3330"/>
    <s v="Marcelo Gouveia"/>
    <x v="0"/>
    <d v="2024-06-04T00:00:00"/>
    <x v="1"/>
    <n v="15"/>
    <x v="0"/>
    <s v="Yes"/>
    <n v="30"/>
    <s v="Yes"/>
    <x v="0"/>
    <n v="15"/>
    <n v="50"/>
  </r>
  <r>
    <n v="3331"/>
    <s v="Nívea Borges"/>
    <x v="2"/>
    <d v="2024-06-05T00:00:00"/>
    <x v="0"/>
    <n v="10"/>
    <x v="0"/>
    <s v="No"/>
    <s v="-"/>
    <s v="Yes"/>
    <x v="0"/>
    <n v="5"/>
    <n v="25"/>
  </r>
  <r>
    <n v="3332"/>
    <s v="Oscar Nogueira"/>
    <x v="1"/>
    <d v="2024-06-06T00:00:00"/>
    <x v="1"/>
    <n v="5"/>
    <x v="1"/>
    <s v="No"/>
    <s v="-"/>
    <s v="No"/>
    <x v="1"/>
    <n v="0"/>
    <n v="5"/>
  </r>
  <r>
    <n v="3333"/>
    <s v="Patrícia Alves"/>
    <x v="0"/>
    <d v="2024-06-07T00:00:00"/>
    <x v="0"/>
    <n v="15"/>
    <x v="2"/>
    <s v="Yes"/>
    <n v="30"/>
    <s v="Yes"/>
    <x v="0"/>
    <n v="20"/>
    <n v="45"/>
  </r>
  <r>
    <n v="3334"/>
    <s v="Rafaela Silva"/>
    <x v="2"/>
    <d v="2024-06-08T00:00:00"/>
    <x v="1"/>
    <n v="10"/>
    <x v="2"/>
    <s v="No"/>
    <s v="-"/>
    <s v="Yes"/>
    <x v="0"/>
    <n v="12"/>
    <n v="18"/>
  </r>
  <r>
    <n v="3335"/>
    <s v="Samantha Moraes"/>
    <x v="1"/>
    <d v="2024-06-09T00:00:00"/>
    <x v="0"/>
    <n v="5"/>
    <x v="0"/>
    <s v="No"/>
    <s v="-"/>
    <s v="No"/>
    <x v="1"/>
    <n v="2"/>
    <n v="3"/>
  </r>
  <r>
    <n v="3336"/>
    <s v="Tatiana Rocha"/>
    <x v="1"/>
    <d v="2024-06-10T00:00:00"/>
    <x v="0"/>
    <n v="5"/>
    <x v="0"/>
    <s v="No"/>
    <s v="-"/>
    <s v="No"/>
    <x v="1"/>
    <n v="0"/>
    <n v="5"/>
  </r>
  <r>
    <n v="3337"/>
    <s v="Ulisses Tavares"/>
    <x v="0"/>
    <d v="2024-06-11T00:00:00"/>
    <x v="1"/>
    <n v="15"/>
    <x v="2"/>
    <s v="Yes"/>
    <n v="30"/>
    <s v="Yes"/>
    <x v="0"/>
    <n v="7"/>
    <n v="58"/>
  </r>
  <r>
    <n v="3338"/>
    <s v="Víctor Lemos"/>
    <x v="2"/>
    <d v="2024-06-12T00:00:00"/>
    <x v="0"/>
    <n v="10"/>
    <x v="1"/>
    <s v="No"/>
    <s v="-"/>
    <s v="Yes"/>
    <x v="0"/>
    <n v="10"/>
    <n v="20"/>
  </r>
  <r>
    <n v="3339"/>
    <s v="Wilma Barros"/>
    <x v="1"/>
    <d v="2024-06-13T00:00:00"/>
    <x v="1"/>
    <n v="5"/>
    <x v="2"/>
    <s v="No"/>
    <s v="-"/>
    <s v="No"/>
    <x v="1"/>
    <n v="1"/>
    <n v="4"/>
  </r>
  <r>
    <n v="3340"/>
    <s v="Xavier Nascimento"/>
    <x v="0"/>
    <d v="2024-06-14T00:00:00"/>
    <x v="0"/>
    <n v="15"/>
    <x v="0"/>
    <s v="Yes"/>
    <n v="30"/>
    <s v="Yes"/>
    <x v="0"/>
    <n v="15"/>
    <n v="50"/>
  </r>
  <r>
    <n v="3341"/>
    <s v="Yago Pereira"/>
    <x v="2"/>
    <d v="2024-06-15T00:00:00"/>
    <x v="1"/>
    <n v="10"/>
    <x v="0"/>
    <s v="No"/>
    <s v="-"/>
    <s v="Yes"/>
    <x v="0"/>
    <n v="5"/>
    <n v="25"/>
  </r>
  <r>
    <n v="3342"/>
    <s v="Zilda Ferreira"/>
    <x v="1"/>
    <d v="2024-06-16T00:00:00"/>
    <x v="0"/>
    <n v="5"/>
    <x v="1"/>
    <s v="No"/>
    <s v="-"/>
    <s v="No"/>
    <x v="1"/>
    <n v="0"/>
    <n v="5"/>
  </r>
  <r>
    <n v="3343"/>
    <s v="Amanda Lopes"/>
    <x v="0"/>
    <d v="2024-06-17T00:00:00"/>
    <x v="1"/>
    <n v="15"/>
    <x v="2"/>
    <s v="Yes"/>
    <n v="30"/>
    <s v="Yes"/>
    <x v="0"/>
    <n v="20"/>
    <n v="45"/>
  </r>
  <r>
    <n v="3344"/>
    <s v="Bruno Miranda"/>
    <x v="2"/>
    <d v="2024-06-18T00:00:00"/>
    <x v="0"/>
    <n v="10"/>
    <x v="2"/>
    <s v="No"/>
    <s v="-"/>
    <s v="Yes"/>
    <x v="0"/>
    <n v="12"/>
    <n v="18"/>
  </r>
  <r>
    <n v="3345"/>
    <s v="Célia Torres"/>
    <x v="1"/>
    <d v="2024-06-19T00:00:00"/>
    <x v="1"/>
    <n v="5"/>
    <x v="0"/>
    <s v="No"/>
    <s v="-"/>
    <s v="No"/>
    <x v="1"/>
    <n v="2"/>
    <n v="3"/>
  </r>
  <r>
    <n v="3346"/>
    <s v="Diogo Souza"/>
    <x v="0"/>
    <d v="2024-06-20T00:00:00"/>
    <x v="0"/>
    <n v="15"/>
    <x v="1"/>
    <s v="Yes"/>
    <n v="30"/>
    <s v="Yes"/>
    <x v="0"/>
    <n v="5"/>
    <n v="60"/>
  </r>
  <r>
    <n v="3347"/>
    <s v="Elisa Castro"/>
    <x v="2"/>
    <d v="2024-06-21T00:00:00"/>
    <x v="1"/>
    <n v="10"/>
    <x v="0"/>
    <s v="No"/>
    <s v="-"/>
    <s v="Yes"/>
    <x v="0"/>
    <n v="10"/>
    <n v="20"/>
  </r>
  <r>
    <n v="3348"/>
    <s v="Fátima Lima"/>
    <x v="1"/>
    <d v="2024-06-22T00:00:00"/>
    <x v="0"/>
    <n v="5"/>
    <x v="2"/>
    <s v="No"/>
    <s v="-"/>
    <s v="No"/>
    <x v="1"/>
    <n v="0"/>
    <n v="5"/>
  </r>
  <r>
    <n v="3349"/>
    <s v="Geraldo Ribeiro"/>
    <x v="0"/>
    <d v="2024-06-23T00:00:00"/>
    <x v="1"/>
    <n v="15"/>
    <x v="0"/>
    <s v="Yes"/>
    <n v="30"/>
    <s v="Yes"/>
    <x v="0"/>
    <n v="3"/>
    <n v="62"/>
  </r>
  <r>
    <n v="3350"/>
    <s v="Hélio Martins"/>
    <x v="2"/>
    <d v="2024-06-24T00:00:00"/>
    <x v="0"/>
    <n v="10"/>
    <x v="1"/>
    <s v="No"/>
    <s v="-"/>
    <s v="Yes"/>
    <x v="0"/>
    <n v="15"/>
    <n v="15"/>
  </r>
  <r>
    <n v="3351"/>
    <s v="Íris Santos"/>
    <x v="1"/>
    <d v="2024-06-25T00:00:00"/>
    <x v="1"/>
    <n v="5"/>
    <x v="0"/>
    <s v="No"/>
    <s v="-"/>
    <s v="No"/>
    <x v="1"/>
    <n v="1"/>
    <n v="4"/>
  </r>
  <r>
    <n v="3352"/>
    <s v="João Marcelo"/>
    <x v="0"/>
    <d v="2024-06-26T00:00:00"/>
    <x v="0"/>
    <n v="15"/>
    <x v="2"/>
    <s v="Yes"/>
    <n v="30"/>
    <s v="Yes"/>
    <x v="0"/>
    <n v="7"/>
    <n v="58"/>
  </r>
  <r>
    <n v="3353"/>
    <s v="Larissa Gomes"/>
    <x v="2"/>
    <d v="2024-06-27T00:00:00"/>
    <x v="1"/>
    <n v="10"/>
    <x v="0"/>
    <s v="No"/>
    <s v="-"/>
    <s v="Yes"/>
    <x v="0"/>
    <n v="10"/>
    <n v="20"/>
  </r>
  <r>
    <n v="3354"/>
    <s v="Márcio Silva"/>
    <x v="1"/>
    <d v="2024-06-28T00:00:00"/>
    <x v="0"/>
    <n v="5"/>
    <x v="1"/>
    <s v="No"/>
    <s v="-"/>
    <s v="No"/>
    <x v="1"/>
    <n v="0"/>
    <n v="5"/>
  </r>
  <r>
    <n v="3355"/>
    <s v="Nadia Costa"/>
    <x v="0"/>
    <d v="2024-06-29T00:00:00"/>
    <x v="1"/>
    <n v="15"/>
    <x v="0"/>
    <s v="Yes"/>
    <n v="30"/>
    <s v="Yes"/>
    <x v="0"/>
    <n v="20"/>
    <n v="45"/>
  </r>
  <r>
    <n v="3356"/>
    <s v="Oscar Almeida"/>
    <x v="2"/>
    <d v="2024-06-30T00:00:00"/>
    <x v="0"/>
    <n v="10"/>
    <x v="2"/>
    <s v="No"/>
    <s v="-"/>
    <s v="Yes"/>
    <x v="0"/>
    <n v="15"/>
    <n v="15"/>
  </r>
  <r>
    <n v="3357"/>
    <s v="Patricia Soares"/>
    <x v="1"/>
    <d v="2024-07-01T00:00:00"/>
    <x v="1"/>
    <n v="5"/>
    <x v="0"/>
    <s v="No"/>
    <s v="-"/>
    <s v="No"/>
    <x v="1"/>
    <n v="1"/>
    <n v="4"/>
  </r>
  <r>
    <n v="3358"/>
    <s v="Quênia Barros"/>
    <x v="0"/>
    <d v="2024-07-02T00:00:00"/>
    <x v="0"/>
    <n v="15"/>
    <x v="1"/>
    <s v="Yes"/>
    <n v="30"/>
    <s v="Yes"/>
    <x v="0"/>
    <n v="3"/>
    <n v="62"/>
  </r>
  <r>
    <n v="3359"/>
    <s v="Rafael Torres"/>
    <x v="2"/>
    <d v="2024-07-03T00:00:00"/>
    <x v="1"/>
    <n v="10"/>
    <x v="0"/>
    <s v="No"/>
    <s v="-"/>
    <s v="Yes"/>
    <x v="0"/>
    <n v="10"/>
    <n v="20"/>
  </r>
  <r>
    <n v="3360"/>
    <s v="Silvia Nascimento"/>
    <x v="1"/>
    <d v="2024-07-04T00:00:00"/>
    <x v="0"/>
    <n v="5"/>
    <x v="2"/>
    <s v="No"/>
    <s v="-"/>
    <s v="No"/>
    <x v="1"/>
    <n v="0"/>
    <n v="5"/>
  </r>
  <r>
    <n v="3361"/>
    <s v="Tiago Mendes"/>
    <x v="0"/>
    <d v="2024-07-05T00:00:00"/>
    <x v="1"/>
    <n v="15"/>
    <x v="0"/>
    <s v="Yes"/>
    <n v="30"/>
    <s v="Yes"/>
    <x v="0"/>
    <n v="15"/>
    <n v="50"/>
  </r>
  <r>
    <n v="3362"/>
    <s v="Ursula Silva"/>
    <x v="2"/>
    <d v="2024-07-06T00:00:00"/>
    <x v="0"/>
    <n v="10"/>
    <x v="1"/>
    <s v="No"/>
    <s v="-"/>
    <s v="Yes"/>
    <x v="0"/>
    <n v="15"/>
    <n v="15"/>
  </r>
  <r>
    <n v="3363"/>
    <s v="Vanessa Moraes"/>
    <x v="1"/>
    <d v="2024-07-07T00:00:00"/>
    <x v="1"/>
    <n v="5"/>
    <x v="0"/>
    <s v="No"/>
    <s v="-"/>
    <s v="No"/>
    <x v="1"/>
    <n v="1"/>
    <n v="4"/>
  </r>
  <r>
    <n v="3364"/>
    <s v="Waldir Junior"/>
    <x v="0"/>
    <d v="2024-07-08T00:00:00"/>
    <x v="0"/>
    <n v="15"/>
    <x v="2"/>
    <s v="Yes"/>
    <n v="30"/>
    <s v="Yes"/>
    <x v="0"/>
    <n v="7"/>
    <n v="58"/>
  </r>
  <r>
    <n v="3365"/>
    <s v="Xavier Lopes"/>
    <x v="2"/>
    <d v="2024-07-09T00:00:00"/>
    <x v="1"/>
    <n v="10"/>
    <x v="0"/>
    <s v="No"/>
    <s v="-"/>
    <s v="Yes"/>
    <x v="0"/>
    <n v="10"/>
    <n v="20"/>
  </r>
  <r>
    <n v="3366"/>
    <s v="Yolanda Freitas"/>
    <x v="1"/>
    <d v="2024-07-10T00:00:00"/>
    <x v="0"/>
    <n v="5"/>
    <x v="0"/>
    <s v="No"/>
    <s v="-"/>
    <s v="No"/>
    <x v="1"/>
    <n v="0"/>
    <n v="5"/>
  </r>
  <r>
    <n v="3367"/>
    <s v="Zacarias Nunes"/>
    <x v="0"/>
    <d v="2024-07-11T00:00:00"/>
    <x v="1"/>
    <n v="15"/>
    <x v="2"/>
    <s v="Yes"/>
    <n v="30"/>
    <s v="Yes"/>
    <x v="0"/>
    <n v="7"/>
    <n v="58"/>
  </r>
  <r>
    <n v="3368"/>
    <s v="Ana Clara Barreto"/>
    <x v="2"/>
    <d v="2024-07-12T00:00:00"/>
    <x v="0"/>
    <n v="10"/>
    <x v="1"/>
    <s v="No"/>
    <s v="-"/>
    <s v="Yes"/>
    <x v="0"/>
    <n v="10"/>
    <n v="20"/>
  </r>
  <r>
    <n v="3369"/>
    <s v="Bruno Henrique"/>
    <x v="1"/>
    <d v="2024-07-13T00:00:00"/>
    <x v="1"/>
    <n v="5"/>
    <x v="2"/>
    <s v="No"/>
    <s v="-"/>
    <s v="No"/>
    <x v="1"/>
    <n v="1"/>
    <n v="4"/>
  </r>
  <r>
    <n v="3370"/>
    <s v="Carlos Eduardo"/>
    <x v="0"/>
    <d v="2024-07-14T00:00:00"/>
    <x v="0"/>
    <n v="15"/>
    <x v="0"/>
    <s v="Yes"/>
    <n v="30"/>
    <s v="Yes"/>
    <x v="0"/>
    <n v="15"/>
    <n v="50"/>
  </r>
  <r>
    <n v="3371"/>
    <s v="Débora Lima"/>
    <x v="2"/>
    <d v="2024-07-15T00:00:00"/>
    <x v="1"/>
    <n v="10"/>
    <x v="0"/>
    <s v="No"/>
    <s v="-"/>
    <s v="Yes"/>
    <x v="0"/>
    <n v="5"/>
    <n v="25"/>
  </r>
  <r>
    <n v="3372"/>
    <s v="Elisa Neves"/>
    <x v="1"/>
    <d v="2024-07-16T00:00:00"/>
    <x v="0"/>
    <n v="5"/>
    <x v="1"/>
    <s v="No"/>
    <s v="-"/>
    <s v="No"/>
    <x v="1"/>
    <n v="0"/>
    <n v="5"/>
  </r>
  <r>
    <n v="3373"/>
    <s v="Fabiano Gomes"/>
    <x v="0"/>
    <d v="2024-07-17T00:00:00"/>
    <x v="1"/>
    <n v="15"/>
    <x v="2"/>
    <s v="Yes"/>
    <n v="30"/>
    <s v="Yes"/>
    <x v="0"/>
    <n v="20"/>
    <n v="45"/>
  </r>
  <r>
    <n v="3374"/>
    <s v="Gisele Oliveira"/>
    <x v="2"/>
    <d v="2024-07-18T00:00:00"/>
    <x v="0"/>
    <n v="10"/>
    <x v="2"/>
    <s v="No"/>
    <s v="-"/>
    <s v="Yes"/>
    <x v="0"/>
    <n v="12"/>
    <n v="18"/>
  </r>
  <r>
    <n v="3375"/>
    <s v="Héctor Silva"/>
    <x v="1"/>
    <d v="2024-07-19T00:00:00"/>
    <x v="1"/>
    <n v="5"/>
    <x v="0"/>
    <s v="No"/>
    <s v="-"/>
    <s v="No"/>
    <x v="1"/>
    <n v="2"/>
    <n v="3"/>
  </r>
  <r>
    <n v="3376"/>
    <s v="Igor Martins"/>
    <x v="0"/>
    <d v="2024-07-20T00:00:00"/>
    <x v="0"/>
    <n v="15"/>
    <x v="1"/>
    <s v="Yes"/>
    <n v="30"/>
    <s v="Yes"/>
    <x v="0"/>
    <n v="5"/>
    <n v="60"/>
  </r>
  <r>
    <n v="3377"/>
    <s v="Joana Figueiredo"/>
    <x v="2"/>
    <d v="2024-07-21T00:00:00"/>
    <x v="1"/>
    <n v="10"/>
    <x v="0"/>
    <s v="No"/>
    <s v="-"/>
    <s v="Yes"/>
    <x v="0"/>
    <n v="10"/>
    <n v="20"/>
  </r>
  <r>
    <n v="3378"/>
    <s v="Kleber Machado"/>
    <x v="1"/>
    <d v="2024-07-22T00:00:00"/>
    <x v="0"/>
    <n v="5"/>
    <x v="2"/>
    <s v="No"/>
    <s v="-"/>
    <s v="No"/>
    <x v="1"/>
    <n v="0"/>
    <n v="5"/>
  </r>
  <r>
    <n v="3379"/>
    <s v="Luciana Santos"/>
    <x v="0"/>
    <d v="2024-07-23T00:00:00"/>
    <x v="1"/>
    <n v="15"/>
    <x v="0"/>
    <s v="Yes"/>
    <n v="30"/>
    <s v="Yes"/>
    <x v="0"/>
    <n v="3"/>
    <n v="62"/>
  </r>
  <r>
    <n v="3380"/>
    <s v="Marcos Teixeira"/>
    <x v="2"/>
    <d v="2024-07-24T00:00:00"/>
    <x v="0"/>
    <n v="10"/>
    <x v="1"/>
    <s v="No"/>
    <s v="-"/>
    <s v="Yes"/>
    <x v="0"/>
    <n v="15"/>
    <n v="15"/>
  </r>
  <r>
    <n v="3381"/>
    <s v="Natalia Costa"/>
    <x v="1"/>
    <d v="2024-07-25T00:00:00"/>
    <x v="1"/>
    <n v="5"/>
    <x v="0"/>
    <s v="No"/>
    <s v="-"/>
    <s v="No"/>
    <x v="1"/>
    <n v="1"/>
    <n v="4"/>
  </r>
  <r>
    <n v="3382"/>
    <s v="Oscar Ribeiro"/>
    <x v="0"/>
    <d v="2024-07-26T00:00:00"/>
    <x v="0"/>
    <n v="15"/>
    <x v="2"/>
    <s v="Yes"/>
    <n v="30"/>
    <s v="Yes"/>
    <x v="0"/>
    <n v="7"/>
    <n v="58"/>
  </r>
  <r>
    <n v="3383"/>
    <s v="Patricia Almeida"/>
    <x v="2"/>
    <d v="2024-07-27T00:00:00"/>
    <x v="1"/>
    <n v="10"/>
    <x v="0"/>
    <s v="No"/>
    <s v="-"/>
    <s v="Yes"/>
    <x v="0"/>
    <n v="10"/>
    <n v="20"/>
  </r>
  <r>
    <n v="3384"/>
    <s v="Quirino Junior"/>
    <x v="1"/>
    <d v="2024-07-28T00:00:00"/>
    <x v="0"/>
    <n v="5"/>
    <x v="1"/>
    <s v="No"/>
    <s v="-"/>
    <s v="No"/>
    <x v="1"/>
    <n v="0"/>
    <n v="5"/>
  </r>
  <r>
    <n v="3385"/>
    <s v="Renata Machado"/>
    <x v="0"/>
    <d v="2024-07-29T00:00:00"/>
    <x v="1"/>
    <n v="15"/>
    <x v="0"/>
    <s v="Yes"/>
    <n v="30"/>
    <s v="Yes"/>
    <x v="0"/>
    <n v="20"/>
    <n v="45"/>
  </r>
  <r>
    <n v="3386"/>
    <s v="Sônia Alves"/>
    <x v="2"/>
    <d v="2024-07-30T00:00:00"/>
    <x v="0"/>
    <n v="10"/>
    <x v="2"/>
    <s v="No"/>
    <s v="-"/>
    <s v="Yes"/>
    <x v="0"/>
    <n v="15"/>
    <n v="15"/>
  </r>
  <r>
    <n v="3387"/>
    <s v="Tiago Nunes"/>
    <x v="1"/>
    <d v="2024-07-31T00:00:00"/>
    <x v="1"/>
    <n v="5"/>
    <x v="0"/>
    <s v="No"/>
    <s v="-"/>
    <s v="No"/>
    <x v="1"/>
    <n v="1"/>
    <n v="4"/>
  </r>
  <r>
    <n v="3388"/>
    <s v="Ulysses Pereira"/>
    <x v="0"/>
    <d v="2024-08-01T00:00:00"/>
    <x v="0"/>
    <n v="15"/>
    <x v="1"/>
    <s v="Yes"/>
    <n v="30"/>
    <s v="Yes"/>
    <x v="0"/>
    <n v="3"/>
    <n v="62"/>
  </r>
  <r>
    <n v="3389"/>
    <s v="Vanessa Lima"/>
    <x v="2"/>
    <d v="2024-08-02T00:00:00"/>
    <x v="1"/>
    <n v="10"/>
    <x v="0"/>
    <s v="No"/>
    <s v="-"/>
    <s v="Yes"/>
    <x v="0"/>
    <n v="10"/>
    <n v="20"/>
  </r>
  <r>
    <n v="3390"/>
    <s v="Wagner Santos"/>
    <x v="1"/>
    <d v="2024-08-03T00:00:00"/>
    <x v="0"/>
    <n v="5"/>
    <x v="2"/>
    <s v="No"/>
    <s v="-"/>
    <s v="No"/>
    <x v="1"/>
    <n v="0"/>
    <n v="5"/>
  </r>
  <r>
    <n v="3391"/>
    <s v="Xuxa Meneghel"/>
    <x v="0"/>
    <d v="2024-08-04T00:00:00"/>
    <x v="1"/>
    <n v="15"/>
    <x v="0"/>
    <s v="Yes"/>
    <n v="30"/>
    <s v="Yes"/>
    <x v="0"/>
    <n v="15"/>
    <n v="50"/>
  </r>
  <r>
    <n v="3392"/>
    <s v="Yasmin Silva"/>
    <x v="2"/>
    <d v="2024-08-05T00:00:00"/>
    <x v="0"/>
    <n v="10"/>
    <x v="1"/>
    <s v="No"/>
    <s v="-"/>
    <s v="Yes"/>
    <x v="0"/>
    <n v="15"/>
    <n v="15"/>
  </r>
  <r>
    <n v="3393"/>
    <s v="Zacarias de Souza"/>
    <x v="1"/>
    <d v="2024-08-06T00:00:00"/>
    <x v="1"/>
    <n v="5"/>
    <x v="0"/>
    <s v="No"/>
    <s v="-"/>
    <s v="No"/>
    <x v="1"/>
    <n v="1"/>
    <n v="4"/>
  </r>
  <r>
    <n v="3394"/>
    <s v="André Lima"/>
    <x v="0"/>
    <d v="2024-08-07T00:00:00"/>
    <x v="0"/>
    <n v="15"/>
    <x v="2"/>
    <s v="Yes"/>
    <n v="30"/>
    <s v="Yes"/>
    <x v="0"/>
    <n v="7"/>
    <n v="58"/>
  </r>
  <r>
    <n v="3395"/>
    <s v="Bianca Freitas"/>
    <x v="2"/>
    <d v="2024-08-08T00:00:00"/>
    <x v="1"/>
    <n v="10"/>
    <x v="0"/>
    <s v="No"/>
    <s v="-"/>
    <s v="Yes"/>
    <x v="0"/>
    <n v="10"/>
    <n v="20"/>
  </r>
  <r>
    <n v="3396"/>
    <s v="Caio Mendes"/>
    <x v="1"/>
    <d v="2024-08-09T00:00:00"/>
    <x v="0"/>
    <n v="5"/>
    <x v="1"/>
    <s v="No"/>
    <s v="-"/>
    <s v="No"/>
    <x v="1"/>
    <n v="0"/>
    <n v="5"/>
  </r>
  <r>
    <n v="3397"/>
    <s v="Daniela Moura"/>
    <x v="0"/>
    <d v="2024-08-10T00:00:00"/>
    <x v="1"/>
    <n v="15"/>
    <x v="0"/>
    <s v="Yes"/>
    <n v="30"/>
    <s v="Yes"/>
    <x v="0"/>
    <n v="20"/>
    <n v="45"/>
  </r>
  <r>
    <n v="3398"/>
    <s v="Eduardo Costa"/>
    <x v="2"/>
    <d v="2024-08-11T00:00:00"/>
    <x v="0"/>
    <n v="10"/>
    <x v="2"/>
    <s v="No"/>
    <s v="-"/>
    <s v="Yes"/>
    <x v="0"/>
    <n v="15"/>
    <n v="15"/>
  </r>
  <r>
    <n v="3399"/>
    <s v="Fernanda Gomes"/>
    <x v="1"/>
    <d v="2024-08-12T00:00:00"/>
    <x v="1"/>
    <n v="5"/>
    <x v="0"/>
    <s v="No"/>
    <s v="-"/>
    <s v="No"/>
    <x v="1"/>
    <n v="1"/>
    <n v="4"/>
  </r>
  <r>
    <n v="3400"/>
    <s v="Guilherme Souza"/>
    <x v="0"/>
    <d v="2024-08-13T00:00:00"/>
    <x v="0"/>
    <n v="15"/>
    <x v="1"/>
    <s v="Yes"/>
    <n v="30"/>
    <s v="Yes"/>
    <x v="0"/>
    <n v="5"/>
    <n v="60"/>
  </r>
  <r>
    <n v="3401"/>
    <s v="Helena Ribeiro"/>
    <x v="2"/>
    <d v="2024-08-14T00:00:00"/>
    <x v="1"/>
    <n v="10"/>
    <x v="0"/>
    <s v="No"/>
    <s v="-"/>
    <s v="Yes"/>
    <x v="0"/>
    <n v="10"/>
    <n v="20"/>
  </r>
  <r>
    <n v="3402"/>
    <s v="Igor Santos"/>
    <x v="1"/>
    <d v="2024-08-15T00:00:00"/>
    <x v="0"/>
    <n v="5"/>
    <x v="2"/>
    <s v="No"/>
    <s v="-"/>
    <s v="No"/>
    <x v="1"/>
    <n v="0"/>
    <n v="5"/>
  </r>
  <r>
    <n v="3403"/>
    <s v="João Carvalho"/>
    <x v="0"/>
    <d v="2024-08-16T00:00:00"/>
    <x v="1"/>
    <n v="15"/>
    <x v="0"/>
    <s v="Yes"/>
    <n v="30"/>
    <s v="Yes"/>
    <x v="0"/>
    <n v="3"/>
    <n v="62"/>
  </r>
  <r>
    <n v="3404"/>
    <s v="Klara Fagundes"/>
    <x v="2"/>
    <d v="2024-08-17T00:00:00"/>
    <x v="0"/>
    <n v="10"/>
    <x v="1"/>
    <s v="No"/>
    <s v="-"/>
    <s v="Yes"/>
    <x v="0"/>
    <n v="15"/>
    <n v="15"/>
  </r>
  <r>
    <n v="3405"/>
    <s v="Lúcia Mendonça"/>
    <x v="1"/>
    <d v="2024-08-18T00:00:00"/>
    <x v="1"/>
    <n v="5"/>
    <x v="0"/>
    <s v="No"/>
    <s v="-"/>
    <s v="No"/>
    <x v="1"/>
    <n v="1"/>
    <n v="4"/>
  </r>
  <r>
    <n v="3406"/>
    <s v="Marcelo Novaes"/>
    <x v="1"/>
    <d v="2024-08-19T00:00:00"/>
    <x v="0"/>
    <n v="5"/>
    <x v="0"/>
    <s v="No"/>
    <s v="-"/>
    <s v="No"/>
    <x v="1"/>
    <n v="0"/>
    <n v="5"/>
  </r>
  <r>
    <n v="3407"/>
    <s v="Nina Pacheco"/>
    <x v="0"/>
    <d v="2024-08-20T00:00:00"/>
    <x v="1"/>
    <n v="15"/>
    <x v="2"/>
    <s v="Yes"/>
    <n v="30"/>
    <s v="Yes"/>
    <x v="0"/>
    <n v="7"/>
    <n v="58"/>
  </r>
  <r>
    <n v="3408"/>
    <s v="Olívia Rios"/>
    <x v="2"/>
    <d v="2024-08-21T00:00:00"/>
    <x v="0"/>
    <n v="10"/>
    <x v="1"/>
    <s v="No"/>
    <s v="-"/>
    <s v="Yes"/>
    <x v="0"/>
    <n v="10"/>
    <n v="20"/>
  </r>
  <r>
    <n v="3409"/>
    <s v="Paulo Quintana"/>
    <x v="1"/>
    <d v="2024-08-22T00:00:00"/>
    <x v="1"/>
    <n v="5"/>
    <x v="2"/>
    <s v="No"/>
    <s v="-"/>
    <s v="No"/>
    <x v="1"/>
    <n v="1"/>
    <n v="4"/>
  </r>
  <r>
    <n v="3410"/>
    <s v="Raquel Domingos"/>
    <x v="0"/>
    <d v="2024-08-23T00:00:00"/>
    <x v="0"/>
    <n v="15"/>
    <x v="0"/>
    <s v="Yes"/>
    <n v="30"/>
    <s v="Yes"/>
    <x v="0"/>
    <n v="15"/>
    <n v="50"/>
  </r>
  <r>
    <n v="3411"/>
    <s v="Samuel Viana"/>
    <x v="2"/>
    <d v="2024-08-24T00:00:00"/>
    <x v="1"/>
    <n v="10"/>
    <x v="0"/>
    <s v="No"/>
    <s v="-"/>
    <s v="Yes"/>
    <x v="0"/>
    <n v="5"/>
    <n v="25"/>
  </r>
  <r>
    <n v="3412"/>
    <s v="Tatiane Rocha"/>
    <x v="1"/>
    <d v="2024-08-25T00:00:00"/>
    <x v="0"/>
    <n v="5"/>
    <x v="1"/>
    <s v="No"/>
    <s v="-"/>
    <s v="No"/>
    <x v="1"/>
    <n v="0"/>
    <n v="5"/>
  </r>
  <r>
    <n v="3413"/>
    <s v="Ulysses Farias"/>
    <x v="0"/>
    <d v="2024-08-26T00:00:00"/>
    <x v="1"/>
    <n v="15"/>
    <x v="2"/>
    <s v="Yes"/>
    <n v="30"/>
    <s v="Yes"/>
    <x v="0"/>
    <n v="20"/>
    <n v="45"/>
  </r>
  <r>
    <n v="3414"/>
    <s v="Vanessa Moreira"/>
    <x v="2"/>
    <d v="2024-08-27T00:00:00"/>
    <x v="0"/>
    <n v="10"/>
    <x v="2"/>
    <s v="No"/>
    <s v="-"/>
    <s v="Yes"/>
    <x v="0"/>
    <n v="12"/>
    <n v="18"/>
  </r>
  <r>
    <n v="3415"/>
    <s v="William Carvalho"/>
    <x v="1"/>
    <d v="2024-08-28T00:00:00"/>
    <x v="1"/>
    <n v="5"/>
    <x v="0"/>
    <s v="No"/>
    <s v="-"/>
    <s v="No"/>
    <x v="1"/>
    <n v="2"/>
    <n v="3"/>
  </r>
  <r>
    <n v="3416"/>
    <s v="Ximena Barros"/>
    <x v="0"/>
    <d v="2024-08-29T00:00:00"/>
    <x v="0"/>
    <n v="15"/>
    <x v="1"/>
    <s v="Yes"/>
    <n v="30"/>
    <s v="Yes"/>
    <x v="0"/>
    <n v="5"/>
    <n v="60"/>
  </r>
  <r>
    <n v="3417"/>
    <s v="Yara Machado"/>
    <x v="2"/>
    <d v="2024-08-30T00:00:00"/>
    <x v="1"/>
    <n v="10"/>
    <x v="0"/>
    <s v="No"/>
    <s v="-"/>
    <s v="Yes"/>
    <x v="0"/>
    <n v="10"/>
    <n v="20"/>
  </r>
  <r>
    <n v="3418"/>
    <s v="Zacarias Costa"/>
    <x v="1"/>
    <d v="2024-08-31T00:00:00"/>
    <x v="0"/>
    <n v="5"/>
    <x v="2"/>
    <s v="No"/>
    <s v="-"/>
    <s v="No"/>
    <x v="1"/>
    <n v="0"/>
    <n v="5"/>
  </r>
  <r>
    <n v="3419"/>
    <s v="André Lopes"/>
    <x v="0"/>
    <d v="2024-09-01T00:00:00"/>
    <x v="1"/>
    <n v="15"/>
    <x v="0"/>
    <s v="Yes"/>
    <n v="30"/>
    <s v="Yes"/>
    <x v="0"/>
    <n v="3"/>
    <n v="62"/>
  </r>
  <r>
    <n v="3420"/>
    <s v="Beatriz Souza"/>
    <x v="2"/>
    <d v="2024-09-02T00:00:00"/>
    <x v="0"/>
    <n v="10"/>
    <x v="1"/>
    <s v="No"/>
    <s v="-"/>
    <s v="Yes"/>
    <x v="0"/>
    <n v="15"/>
    <n v="15"/>
  </r>
  <r>
    <n v="3421"/>
    <s v="Caio Pereira"/>
    <x v="1"/>
    <d v="2024-09-03T00:00:00"/>
    <x v="1"/>
    <n v="5"/>
    <x v="0"/>
    <s v="No"/>
    <s v="-"/>
    <s v="No"/>
    <x v="1"/>
    <n v="1"/>
    <n v="4"/>
  </r>
  <r>
    <n v="3422"/>
    <s v="Daniela Araújo"/>
    <x v="0"/>
    <d v="2024-09-04T00:00:00"/>
    <x v="0"/>
    <n v="15"/>
    <x v="2"/>
    <s v="Yes"/>
    <n v="30"/>
    <s v="Yes"/>
    <x v="0"/>
    <n v="7"/>
    <n v="58"/>
  </r>
  <r>
    <n v="3423"/>
    <s v="Eduardo Santos"/>
    <x v="2"/>
    <d v="2024-09-05T00:00:00"/>
    <x v="1"/>
    <n v="10"/>
    <x v="0"/>
    <s v="No"/>
    <s v="-"/>
    <s v="Yes"/>
    <x v="0"/>
    <n v="10"/>
    <n v="20"/>
  </r>
  <r>
    <n v="3424"/>
    <s v="Fernanda Lima"/>
    <x v="1"/>
    <d v="2024-09-06T00:00:00"/>
    <x v="0"/>
    <n v="5"/>
    <x v="1"/>
    <s v="No"/>
    <s v="-"/>
    <s v="No"/>
    <x v="1"/>
    <n v="0"/>
    <n v="5"/>
  </r>
  <r>
    <n v="3425"/>
    <s v="Gabriel Teixeira"/>
    <x v="0"/>
    <d v="2024-09-07T00:00:00"/>
    <x v="1"/>
    <n v="15"/>
    <x v="0"/>
    <s v="Yes"/>
    <n v="30"/>
    <s v="Yes"/>
    <x v="0"/>
    <n v="20"/>
    <n v="45"/>
  </r>
  <r>
    <n v="3426"/>
    <s v="Helena Ribeiro"/>
    <x v="2"/>
    <d v="2024-09-08T00:00:00"/>
    <x v="0"/>
    <n v="10"/>
    <x v="2"/>
    <s v="No"/>
    <s v="-"/>
    <s v="Yes"/>
    <x v="0"/>
    <n v="15"/>
    <n v="15"/>
  </r>
  <r>
    <n v="3427"/>
    <s v="Igor Mendes"/>
    <x v="1"/>
    <d v="2024-09-09T00:00:00"/>
    <x v="1"/>
    <n v="5"/>
    <x v="0"/>
    <s v="No"/>
    <s v="-"/>
    <s v="No"/>
    <x v="1"/>
    <n v="1"/>
    <n v="4"/>
  </r>
  <r>
    <n v="3428"/>
    <s v="Joana Silveira"/>
    <x v="0"/>
    <d v="2024-09-10T00:00:00"/>
    <x v="0"/>
    <n v="15"/>
    <x v="1"/>
    <s v="Yes"/>
    <n v="30"/>
    <s v="Yes"/>
    <x v="0"/>
    <n v="3"/>
    <n v="62"/>
  </r>
  <r>
    <n v="3429"/>
    <s v="Lucas Martins"/>
    <x v="2"/>
    <d v="2024-09-11T00:00:00"/>
    <x v="1"/>
    <n v="10"/>
    <x v="0"/>
    <s v="No"/>
    <s v="-"/>
    <s v="Yes"/>
    <x v="0"/>
    <n v="10"/>
    <n v="20"/>
  </r>
  <r>
    <n v="3430"/>
    <s v="Marcela Gouveia"/>
    <x v="1"/>
    <d v="2024-09-12T00:00:00"/>
    <x v="0"/>
    <n v="5"/>
    <x v="2"/>
    <s v="No"/>
    <s v="-"/>
    <s v="No"/>
    <x v="1"/>
    <n v="0"/>
    <n v="5"/>
  </r>
  <r>
    <n v="3431"/>
    <s v="Nicolas Borges"/>
    <x v="0"/>
    <d v="2024-09-13T00:00:00"/>
    <x v="1"/>
    <n v="15"/>
    <x v="0"/>
    <s v="Yes"/>
    <n v="30"/>
    <s v="Yes"/>
    <x v="0"/>
    <n v="15"/>
    <n v="50"/>
  </r>
  <r>
    <n v="3432"/>
    <s v="Olivia Freitas"/>
    <x v="2"/>
    <d v="2024-09-14T00:00:00"/>
    <x v="0"/>
    <n v="10"/>
    <x v="1"/>
    <s v="No"/>
    <s v="-"/>
    <s v="Yes"/>
    <x v="0"/>
    <n v="15"/>
    <n v="15"/>
  </r>
  <r>
    <n v="3433"/>
    <s v="Paulo Nogueira"/>
    <x v="1"/>
    <d v="2024-09-15T00:00:00"/>
    <x v="1"/>
    <n v="5"/>
    <x v="0"/>
    <s v="No"/>
    <s v="-"/>
    <s v="No"/>
    <x v="1"/>
    <n v="1"/>
    <n v="4"/>
  </r>
  <r>
    <n v="3434"/>
    <s v="Raquel Andrade"/>
    <x v="0"/>
    <d v="2024-09-16T00:00:00"/>
    <x v="0"/>
    <n v="15"/>
    <x v="2"/>
    <s v="Yes"/>
    <n v="30"/>
    <s v="Yes"/>
    <x v="0"/>
    <n v="7"/>
    <n v="58"/>
  </r>
  <r>
    <n v="3435"/>
    <s v="Sônia Carvalho"/>
    <x v="2"/>
    <d v="2024-09-17T00:00:00"/>
    <x v="1"/>
    <n v="10"/>
    <x v="0"/>
    <s v="No"/>
    <s v="-"/>
    <s v="Yes"/>
    <x v="0"/>
    <n v="10"/>
    <n v="20"/>
  </r>
  <r>
    <n v="3436"/>
    <s v="Tiago Rodrigues"/>
    <x v="1"/>
    <d v="2024-09-18T00:00:00"/>
    <x v="0"/>
    <n v="5"/>
    <x v="0"/>
    <s v="No"/>
    <s v="-"/>
    <s v="No"/>
    <x v="1"/>
    <n v="0"/>
    <n v="5"/>
  </r>
  <r>
    <n v="3437"/>
    <s v="Ursula Monteiro"/>
    <x v="0"/>
    <d v="2024-09-19T00:00:00"/>
    <x v="1"/>
    <n v="15"/>
    <x v="2"/>
    <s v="Yes"/>
    <n v="30"/>
    <s v="Yes"/>
    <x v="0"/>
    <n v="7"/>
    <n v="58"/>
  </r>
  <r>
    <n v="3438"/>
    <s v="Vanessa Pereira"/>
    <x v="2"/>
    <d v="2024-09-20T00:00:00"/>
    <x v="0"/>
    <n v="10"/>
    <x v="1"/>
    <s v="No"/>
    <s v="-"/>
    <s v="Yes"/>
    <x v="0"/>
    <n v="10"/>
    <n v="20"/>
  </r>
  <r>
    <n v="3439"/>
    <s v="Walter Silva"/>
    <x v="1"/>
    <d v="2024-09-21T00:00:00"/>
    <x v="1"/>
    <n v="5"/>
    <x v="2"/>
    <s v="No"/>
    <s v="-"/>
    <s v="No"/>
    <x v="1"/>
    <n v="1"/>
    <n v="4"/>
  </r>
  <r>
    <n v="3440"/>
    <s v="Xavier Almeida"/>
    <x v="0"/>
    <d v="2024-09-22T00:00:00"/>
    <x v="0"/>
    <n v="15"/>
    <x v="0"/>
    <s v="Yes"/>
    <n v="30"/>
    <s v="Yes"/>
    <x v="0"/>
    <n v="15"/>
    <n v="50"/>
  </r>
  <r>
    <n v="3441"/>
    <s v="Yasmine Correia"/>
    <x v="2"/>
    <d v="2024-09-23T00:00:00"/>
    <x v="1"/>
    <n v="10"/>
    <x v="0"/>
    <s v="No"/>
    <s v="-"/>
    <s v="Yes"/>
    <x v="0"/>
    <n v="5"/>
    <n v="25"/>
  </r>
  <r>
    <n v="3442"/>
    <s v="Zacarias Almeida"/>
    <x v="1"/>
    <d v="2024-09-24T00:00:00"/>
    <x v="0"/>
    <n v="5"/>
    <x v="1"/>
    <s v="No"/>
    <s v="-"/>
    <s v="No"/>
    <x v="1"/>
    <n v="0"/>
    <n v="5"/>
  </r>
  <r>
    <n v="3443"/>
    <s v="Amanda Costa"/>
    <x v="0"/>
    <d v="2024-09-25T00:00:00"/>
    <x v="1"/>
    <n v="15"/>
    <x v="2"/>
    <s v="Yes"/>
    <n v="30"/>
    <s v="Yes"/>
    <x v="0"/>
    <n v="20"/>
    <n v="45"/>
  </r>
  <r>
    <n v="3444"/>
    <s v="Bruno Ferreira"/>
    <x v="2"/>
    <d v="2024-09-26T00:00:00"/>
    <x v="0"/>
    <n v="10"/>
    <x v="2"/>
    <s v="No"/>
    <s v="-"/>
    <s v="Yes"/>
    <x v="0"/>
    <n v="12"/>
    <n v="18"/>
  </r>
  <r>
    <n v="3445"/>
    <s v="Carla Dias"/>
    <x v="1"/>
    <d v="2024-09-27T00:00:00"/>
    <x v="1"/>
    <n v="5"/>
    <x v="0"/>
    <s v="No"/>
    <s v="-"/>
    <s v="No"/>
    <x v="1"/>
    <n v="2"/>
    <n v="3"/>
  </r>
  <r>
    <n v="3446"/>
    <s v="Diogo Martins"/>
    <x v="0"/>
    <d v="2024-09-28T00:00:00"/>
    <x v="0"/>
    <n v="15"/>
    <x v="1"/>
    <s v="Yes"/>
    <n v="30"/>
    <s v="Yes"/>
    <x v="0"/>
    <n v="5"/>
    <n v="60"/>
  </r>
  <r>
    <n v="3447"/>
    <s v="Elisa Campos"/>
    <x v="2"/>
    <d v="2024-09-29T00:00:00"/>
    <x v="1"/>
    <n v="10"/>
    <x v="0"/>
    <s v="No"/>
    <s v="-"/>
    <s v="Yes"/>
    <x v="0"/>
    <n v="10"/>
    <n v="20"/>
  </r>
  <r>
    <n v="3448"/>
    <s v="Fabiana Lima"/>
    <x v="1"/>
    <d v="2024-09-30T00:00:00"/>
    <x v="0"/>
    <n v="5"/>
    <x v="2"/>
    <s v="No"/>
    <s v="-"/>
    <s v="No"/>
    <x v="1"/>
    <n v="0"/>
    <n v="5"/>
  </r>
  <r>
    <n v="3449"/>
    <s v="Gabriel Santos"/>
    <x v="0"/>
    <d v="2024-10-01T00:00:00"/>
    <x v="1"/>
    <n v="15"/>
    <x v="0"/>
    <s v="Yes"/>
    <n v="30"/>
    <s v="Yes"/>
    <x v="0"/>
    <n v="3"/>
    <n v="62"/>
  </r>
  <r>
    <n v="3450"/>
    <s v="Helena Ferreira"/>
    <x v="2"/>
    <d v="2024-10-02T00:00:00"/>
    <x v="0"/>
    <n v="10"/>
    <x v="1"/>
    <s v="No"/>
    <s v="-"/>
    <s v="Yes"/>
    <x v="0"/>
    <n v="15"/>
    <n v="15"/>
  </r>
  <r>
    <n v="3451"/>
    <s v="Ígor Nunes"/>
    <x v="1"/>
    <d v="2024-10-03T00:00:00"/>
    <x v="1"/>
    <n v="5"/>
    <x v="0"/>
    <s v="No"/>
    <s v="-"/>
    <s v="No"/>
    <x v="1"/>
    <n v="1"/>
    <n v="4"/>
  </r>
  <r>
    <n v="3452"/>
    <s v="Joana Silveira"/>
    <x v="0"/>
    <d v="2024-10-04T00:00:00"/>
    <x v="0"/>
    <n v="15"/>
    <x v="2"/>
    <s v="Yes"/>
    <n v="30"/>
    <s v="Yes"/>
    <x v="0"/>
    <n v="7"/>
    <n v="58"/>
  </r>
  <r>
    <n v="3453"/>
    <s v="Kléber Oliveira"/>
    <x v="2"/>
    <d v="2024-10-05T00:00:00"/>
    <x v="1"/>
    <n v="10"/>
    <x v="0"/>
    <s v="No"/>
    <s v="-"/>
    <s v="Yes"/>
    <x v="0"/>
    <n v="10"/>
    <n v="20"/>
  </r>
  <r>
    <n v="3454"/>
    <s v="Luciana Morais"/>
    <x v="1"/>
    <d v="2024-10-06T00:00:00"/>
    <x v="0"/>
    <n v="5"/>
    <x v="1"/>
    <s v="No"/>
    <s v="-"/>
    <s v="No"/>
    <x v="1"/>
    <n v="0"/>
    <n v="5"/>
  </r>
  <r>
    <n v="3455"/>
    <s v="Marcos Vinícius"/>
    <x v="0"/>
    <d v="2024-10-07T00:00:00"/>
    <x v="1"/>
    <n v="15"/>
    <x v="0"/>
    <s v="Yes"/>
    <n v="30"/>
    <s v="Yes"/>
    <x v="0"/>
    <n v="20"/>
    <n v="45"/>
  </r>
  <r>
    <n v="3456"/>
    <s v="Natália Barros"/>
    <x v="2"/>
    <d v="2024-10-08T00:00:00"/>
    <x v="0"/>
    <n v="10"/>
    <x v="2"/>
    <s v="No"/>
    <s v="-"/>
    <s v="Yes"/>
    <x v="0"/>
    <n v="15"/>
    <n v="15"/>
  </r>
  <r>
    <n v="3457"/>
    <s v="Oscar Sampaio"/>
    <x v="1"/>
    <d v="2024-10-09T00:00:00"/>
    <x v="1"/>
    <n v="5"/>
    <x v="0"/>
    <s v="No"/>
    <s v="-"/>
    <s v="No"/>
    <x v="1"/>
    <n v="1"/>
    <n v="4"/>
  </r>
  <r>
    <n v="3458"/>
    <s v="Patrícia Leite"/>
    <x v="0"/>
    <d v="2024-10-10T00:00:00"/>
    <x v="0"/>
    <n v="15"/>
    <x v="1"/>
    <s v="Yes"/>
    <n v="30"/>
    <s v="Yes"/>
    <x v="0"/>
    <n v="3"/>
    <n v="62"/>
  </r>
  <r>
    <n v="3459"/>
    <s v="Quênia Rocha"/>
    <x v="2"/>
    <d v="2024-10-11T00:00:00"/>
    <x v="1"/>
    <n v="10"/>
    <x v="0"/>
    <s v="No"/>
    <s v="-"/>
    <s v="Yes"/>
    <x v="0"/>
    <n v="10"/>
    <n v="20"/>
  </r>
  <r>
    <n v="3460"/>
    <s v="Rafael Torres"/>
    <x v="1"/>
    <d v="2024-10-12T00:00:00"/>
    <x v="0"/>
    <n v="5"/>
    <x v="2"/>
    <s v="No"/>
    <s v="-"/>
    <s v="No"/>
    <x v="1"/>
    <n v="0"/>
    <n v="5"/>
  </r>
  <r>
    <n v="3461"/>
    <s v="Sandra Gouveia"/>
    <x v="0"/>
    <d v="2024-10-13T00:00:00"/>
    <x v="1"/>
    <n v="15"/>
    <x v="0"/>
    <s v="Yes"/>
    <n v="30"/>
    <s v="Yes"/>
    <x v="0"/>
    <n v="15"/>
    <n v="50"/>
  </r>
  <r>
    <n v="3462"/>
    <s v="Tiago Lacerda"/>
    <x v="2"/>
    <d v="2024-10-14T00:00:00"/>
    <x v="0"/>
    <n v="10"/>
    <x v="1"/>
    <s v="No"/>
    <s v="-"/>
    <s v="Yes"/>
    <x v="0"/>
    <n v="15"/>
    <n v="15"/>
  </r>
  <r>
    <n v="3463"/>
    <s v="Ursula Fonseca"/>
    <x v="1"/>
    <d v="2024-10-15T00:00:00"/>
    <x v="1"/>
    <n v="5"/>
    <x v="0"/>
    <s v="No"/>
    <s v="-"/>
    <s v="No"/>
    <x v="1"/>
    <n v="1"/>
    <n v="4"/>
  </r>
  <r>
    <n v="3464"/>
    <s v="Vanessa Andrade"/>
    <x v="0"/>
    <d v="2024-10-16T00:00:00"/>
    <x v="0"/>
    <n v="15"/>
    <x v="2"/>
    <s v="Yes"/>
    <n v="30"/>
    <s v="Yes"/>
    <x v="0"/>
    <n v="7"/>
    <n v="58"/>
  </r>
  <r>
    <n v="3465"/>
    <s v="William Castro"/>
    <x v="2"/>
    <d v="2024-10-17T00:00:00"/>
    <x v="1"/>
    <n v="10"/>
    <x v="0"/>
    <s v="No"/>
    <s v="-"/>
    <s v="Yes"/>
    <x v="0"/>
    <n v="10"/>
    <n v="20"/>
  </r>
  <r>
    <n v="3466"/>
    <s v="Xavier Monteiro"/>
    <x v="1"/>
    <d v="2024-10-18T00:00:00"/>
    <x v="0"/>
    <n v="5"/>
    <x v="1"/>
    <s v="No"/>
    <s v="-"/>
    <s v="No"/>
    <x v="1"/>
    <n v="0"/>
    <n v="5"/>
  </r>
  <r>
    <n v="3467"/>
    <s v="Yasmin Figueira"/>
    <x v="0"/>
    <d v="2024-10-19T00:00:00"/>
    <x v="1"/>
    <n v="15"/>
    <x v="0"/>
    <s v="Yes"/>
    <n v="30"/>
    <s v="Yes"/>
    <x v="0"/>
    <n v="15"/>
    <n v="50"/>
  </r>
  <r>
    <n v="3468"/>
    <s v="Zacarias Mendonça"/>
    <x v="2"/>
    <d v="2024-10-20T00:00:00"/>
    <x v="0"/>
    <n v="10"/>
    <x v="2"/>
    <s v="No"/>
    <s v="-"/>
    <s v="Yes"/>
    <x v="0"/>
    <n v="12"/>
    <n v="18"/>
  </r>
  <r>
    <n v="3469"/>
    <s v="Amanda Menezes"/>
    <x v="1"/>
    <d v="2024-10-21T00:00:00"/>
    <x v="1"/>
    <n v="5"/>
    <x v="0"/>
    <s v="No"/>
    <s v="-"/>
    <s v="No"/>
    <x v="1"/>
    <n v="2"/>
    <n v="3"/>
  </r>
  <r>
    <n v="3470"/>
    <s v="Bruno Santos"/>
    <x v="0"/>
    <d v="2024-10-22T00:00:00"/>
    <x v="0"/>
    <n v="15"/>
    <x v="1"/>
    <s v="Yes"/>
    <n v="30"/>
    <s v="Yes"/>
    <x v="0"/>
    <n v="5"/>
    <n v="60"/>
  </r>
  <r>
    <n v="3471"/>
    <s v="Carla Ferreira"/>
    <x v="2"/>
    <d v="2024-10-23T00:00:00"/>
    <x v="1"/>
    <n v="10"/>
    <x v="0"/>
    <s v="No"/>
    <s v="-"/>
    <s v="Yes"/>
    <x v="0"/>
    <n v="10"/>
    <n v="20"/>
  </r>
  <r>
    <n v="3472"/>
    <s v="Diogo Alves"/>
    <x v="1"/>
    <d v="2024-10-24T00:00:00"/>
    <x v="0"/>
    <n v="5"/>
    <x v="2"/>
    <s v="No"/>
    <s v="-"/>
    <s v="No"/>
    <x v="1"/>
    <n v="0"/>
    <n v="5"/>
  </r>
  <r>
    <n v="3473"/>
    <s v="Elisa Neves"/>
    <x v="0"/>
    <d v="2024-10-25T00:00:00"/>
    <x v="1"/>
    <n v="15"/>
    <x v="0"/>
    <s v="Yes"/>
    <n v="30"/>
    <s v="Yes"/>
    <x v="0"/>
    <n v="3"/>
    <n v="62"/>
  </r>
  <r>
    <n v="3474"/>
    <s v="Fabiano Pires"/>
    <x v="2"/>
    <d v="2024-10-26T00:00:00"/>
    <x v="0"/>
    <n v="10"/>
    <x v="1"/>
    <s v="No"/>
    <s v="-"/>
    <s v="Yes"/>
    <x v="0"/>
    <n v="15"/>
    <n v="15"/>
  </r>
  <r>
    <n v="3475"/>
    <s v="Giovana Ribeiro"/>
    <x v="1"/>
    <d v="2024-10-27T00:00:00"/>
    <x v="1"/>
    <n v="5"/>
    <x v="0"/>
    <s v="No"/>
    <s v="-"/>
    <s v="No"/>
    <x v="1"/>
    <n v="1"/>
    <n v="4"/>
  </r>
  <r>
    <n v="3476"/>
    <s v="Hélio Costa"/>
    <x v="0"/>
    <d v="2024-10-28T00:00:00"/>
    <x v="0"/>
    <n v="15"/>
    <x v="2"/>
    <s v="Yes"/>
    <n v="30"/>
    <s v="Yes"/>
    <x v="0"/>
    <n v="7"/>
    <n v="58"/>
  </r>
  <r>
    <n v="3477"/>
    <s v="Íris Loureiro"/>
    <x v="2"/>
    <d v="2024-10-29T00:00:00"/>
    <x v="1"/>
    <n v="10"/>
    <x v="0"/>
    <s v="No"/>
    <s v="-"/>
    <s v="Yes"/>
    <x v="0"/>
    <n v="10"/>
    <n v="20"/>
  </r>
  <r>
    <n v="3478"/>
    <s v="João Pereira"/>
    <x v="1"/>
    <d v="2024-10-30T00:00:00"/>
    <x v="0"/>
    <n v="5"/>
    <x v="1"/>
    <s v="No"/>
    <s v="-"/>
    <s v="No"/>
    <x v="1"/>
    <n v="0"/>
    <n v="5"/>
  </r>
  <r>
    <n v="3479"/>
    <s v="Klara Silva"/>
    <x v="0"/>
    <d v="2024-10-31T00:00:00"/>
    <x v="1"/>
    <n v="15"/>
    <x v="0"/>
    <s v="Yes"/>
    <n v="30"/>
    <s v="Yes"/>
    <x v="0"/>
    <n v="20"/>
    <n v="45"/>
  </r>
  <r>
    <n v="3480"/>
    <s v="Luciana Barros"/>
    <x v="2"/>
    <d v="2024-11-01T00:00:00"/>
    <x v="0"/>
    <n v="10"/>
    <x v="2"/>
    <s v="No"/>
    <s v="-"/>
    <s v="Yes"/>
    <x v="0"/>
    <n v="15"/>
    <n v="15"/>
  </r>
  <r>
    <n v="3481"/>
    <s v="Marcos Gomes"/>
    <x v="1"/>
    <d v="2024-11-02T00:00:00"/>
    <x v="1"/>
    <n v="5"/>
    <x v="0"/>
    <s v="No"/>
    <s v="-"/>
    <s v="No"/>
    <x v="1"/>
    <n v="1"/>
    <n v="4"/>
  </r>
  <r>
    <n v="3482"/>
    <s v="Natália Soares"/>
    <x v="0"/>
    <d v="2024-11-03T00:00:00"/>
    <x v="0"/>
    <n v="15"/>
    <x v="1"/>
    <s v="Yes"/>
    <n v="30"/>
    <s v="Yes"/>
    <x v="0"/>
    <n v="3"/>
    <n v="62"/>
  </r>
  <r>
    <n v="3483"/>
    <s v="Oscar Machado"/>
    <x v="2"/>
    <d v="2024-11-04T00:00:00"/>
    <x v="1"/>
    <n v="10"/>
    <x v="0"/>
    <s v="No"/>
    <s v="-"/>
    <s v="Yes"/>
    <x v="0"/>
    <n v="10"/>
    <n v="20"/>
  </r>
  <r>
    <n v="3484"/>
    <s v="Patrícia Lima"/>
    <x v="1"/>
    <d v="2024-11-05T00:00:00"/>
    <x v="0"/>
    <n v="5"/>
    <x v="2"/>
    <s v="No"/>
    <s v="-"/>
    <s v="No"/>
    <x v="1"/>
    <n v="0"/>
    <n v="5"/>
  </r>
  <r>
    <n v="3485"/>
    <s v="Quirino Neto"/>
    <x v="0"/>
    <d v="2024-11-06T00:00:00"/>
    <x v="1"/>
    <n v="15"/>
    <x v="0"/>
    <s v="Yes"/>
    <n v="30"/>
    <s v="Yes"/>
    <x v="0"/>
    <n v="15"/>
    <n v="50"/>
  </r>
  <r>
    <n v="3486"/>
    <s v="Rafaela Souza"/>
    <x v="1"/>
    <d v="2024-11-07T00:00:00"/>
    <x v="0"/>
    <n v="5"/>
    <x v="0"/>
    <s v="No"/>
    <s v="-"/>
    <s v="No"/>
    <x v="1"/>
    <n v="0"/>
    <n v="5"/>
  </r>
  <r>
    <n v="3487"/>
    <s v="Sandro Almeida"/>
    <x v="0"/>
    <d v="2024-11-08T00:00:00"/>
    <x v="1"/>
    <n v="15"/>
    <x v="2"/>
    <s v="Yes"/>
    <n v="30"/>
    <s v="Yes"/>
    <x v="0"/>
    <n v="7"/>
    <n v="58"/>
  </r>
  <r>
    <n v="3488"/>
    <s v="Tânia Ribeiro"/>
    <x v="2"/>
    <d v="2024-11-09T00:00:00"/>
    <x v="0"/>
    <n v="10"/>
    <x v="1"/>
    <s v="No"/>
    <s v="-"/>
    <s v="Yes"/>
    <x v="0"/>
    <n v="10"/>
    <n v="20"/>
  </r>
  <r>
    <n v="3489"/>
    <s v="Ugo Dias"/>
    <x v="1"/>
    <d v="2024-11-10T00:00:00"/>
    <x v="1"/>
    <n v="5"/>
    <x v="2"/>
    <s v="No"/>
    <s v="-"/>
    <s v="No"/>
    <x v="1"/>
    <n v="1"/>
    <n v="4"/>
  </r>
  <r>
    <n v="3490"/>
    <s v="Valéria Lima"/>
    <x v="0"/>
    <d v="2024-11-11T00:00:00"/>
    <x v="0"/>
    <n v="15"/>
    <x v="0"/>
    <s v="Yes"/>
    <n v="30"/>
    <s v="Yes"/>
    <x v="0"/>
    <n v="15"/>
    <n v="50"/>
  </r>
  <r>
    <n v="3491"/>
    <s v="William Fernandes"/>
    <x v="2"/>
    <d v="2024-11-12T00:00:00"/>
    <x v="1"/>
    <n v="10"/>
    <x v="0"/>
    <s v="No"/>
    <s v="-"/>
    <s v="Yes"/>
    <x v="0"/>
    <n v="5"/>
    <n v="25"/>
  </r>
  <r>
    <n v="3492"/>
    <s v="Xuxa Mendes"/>
    <x v="1"/>
    <d v="2024-11-13T00:00:00"/>
    <x v="0"/>
    <n v="5"/>
    <x v="1"/>
    <s v="No"/>
    <s v="-"/>
    <s v="No"/>
    <x v="1"/>
    <n v="0"/>
    <n v="5"/>
  </r>
  <r>
    <n v="3493"/>
    <s v="Ygor Farias"/>
    <x v="0"/>
    <d v="2024-11-14T00:00:00"/>
    <x v="1"/>
    <n v="15"/>
    <x v="2"/>
    <s v="Yes"/>
    <n v="30"/>
    <s v="Yes"/>
    <x v="0"/>
    <n v="20"/>
    <n v="45"/>
  </r>
  <r>
    <n v="3494"/>
    <s v="Zilda Barros"/>
    <x v="2"/>
    <d v="2024-11-15T00:00:00"/>
    <x v="0"/>
    <n v="10"/>
    <x v="2"/>
    <s v="No"/>
    <s v="-"/>
    <s v="Yes"/>
    <x v="0"/>
    <n v="12"/>
    <n v="18"/>
  </r>
  <r>
    <n v="3495"/>
    <s v="Amanda Santos"/>
    <x v="1"/>
    <d v="2024-11-16T00:00:00"/>
    <x v="1"/>
    <n v="5"/>
    <x v="0"/>
    <s v="No"/>
    <s v="-"/>
    <s v="No"/>
    <x v="1"/>
    <n v="2"/>
    <n v="3"/>
  </r>
  <r>
    <n v="3496"/>
    <s v="Bruno Costa"/>
    <x v="0"/>
    <d v="2024-11-17T00:00:00"/>
    <x v="0"/>
    <n v="15"/>
    <x v="1"/>
    <s v="Yes"/>
    <n v="30"/>
    <s v="Yes"/>
    <x v="0"/>
    <n v="5"/>
    <n v="60"/>
  </r>
  <r>
    <n v="3497"/>
    <s v="Carla Rodrigues"/>
    <x v="2"/>
    <d v="2024-11-18T00:00:00"/>
    <x v="1"/>
    <n v="10"/>
    <x v="0"/>
    <s v="No"/>
    <s v="-"/>
    <s v="Yes"/>
    <x v="0"/>
    <n v="10"/>
    <n v="20"/>
  </r>
  <r>
    <n v="3498"/>
    <s v="Diogo Pereira"/>
    <x v="1"/>
    <d v="2024-11-19T00:00:00"/>
    <x v="0"/>
    <n v="5"/>
    <x v="2"/>
    <s v="No"/>
    <s v="-"/>
    <s v="No"/>
    <x v="1"/>
    <n v="0"/>
    <n v="5"/>
  </r>
  <r>
    <n v="3499"/>
    <s v="Elisa Correia"/>
    <x v="0"/>
    <d v="2024-11-20T00:00:00"/>
    <x v="1"/>
    <n v="15"/>
    <x v="0"/>
    <s v="Yes"/>
    <n v="30"/>
    <s v="Yes"/>
    <x v="0"/>
    <n v="3"/>
    <n v="62"/>
  </r>
  <r>
    <n v="3500"/>
    <s v="Fábio Lourenço"/>
    <x v="2"/>
    <d v="2024-11-21T00:00:00"/>
    <x v="0"/>
    <n v="10"/>
    <x v="1"/>
    <s v="No"/>
    <s v="-"/>
    <s v="Yes"/>
    <x v="0"/>
    <n v="15"/>
    <n v="15"/>
  </r>
  <r>
    <n v="3501"/>
    <s v="Gabriela Neves"/>
    <x v="1"/>
    <d v="2024-11-22T00:00:00"/>
    <x v="1"/>
    <n v="5"/>
    <x v="0"/>
    <s v="No"/>
    <s v="-"/>
    <s v="No"/>
    <x v="1"/>
    <n v="1"/>
    <n v="4"/>
  </r>
  <r>
    <n v="3502"/>
    <s v="Henrique Gonçalves"/>
    <x v="0"/>
    <d v="2024-11-23T00:00:00"/>
    <x v="0"/>
    <n v="15"/>
    <x v="2"/>
    <s v="Yes"/>
    <n v="30"/>
    <s v="Yes"/>
    <x v="0"/>
    <n v="7"/>
    <n v="58"/>
  </r>
  <r>
    <n v="3503"/>
    <s v="Íris Santos"/>
    <x v="2"/>
    <d v="2024-11-24T00:00:00"/>
    <x v="1"/>
    <n v="10"/>
    <x v="0"/>
    <s v="No"/>
    <s v="-"/>
    <s v="Yes"/>
    <x v="0"/>
    <n v="10"/>
    <n v="20"/>
  </r>
  <r>
    <n v="3504"/>
    <s v="João Marcelo Alves"/>
    <x v="1"/>
    <d v="2024-11-25T00:00:00"/>
    <x v="0"/>
    <n v="5"/>
    <x v="1"/>
    <s v="No"/>
    <s v="-"/>
    <s v="No"/>
    <x v="1"/>
    <n v="0"/>
    <n v="5"/>
  </r>
  <r>
    <n v="3505"/>
    <s v="Klara Fonseca"/>
    <x v="0"/>
    <d v="2024-11-26T00:00:00"/>
    <x v="1"/>
    <n v="15"/>
    <x v="0"/>
    <s v="Yes"/>
    <n v="30"/>
    <s v="Yes"/>
    <x v="0"/>
    <n v="20"/>
    <n v="45"/>
  </r>
  <r>
    <n v="3506"/>
    <s v="Lucas Mendonça"/>
    <x v="2"/>
    <d v="2024-11-27T00:00:00"/>
    <x v="0"/>
    <n v="10"/>
    <x v="2"/>
    <s v="No"/>
    <s v="-"/>
    <s v="Yes"/>
    <x v="0"/>
    <n v="15"/>
    <n v="15"/>
  </r>
  <r>
    <n v="3507"/>
    <s v="Marcela Torres"/>
    <x v="1"/>
    <d v="2024-11-28T00:00:00"/>
    <x v="1"/>
    <n v="5"/>
    <x v="0"/>
    <s v="No"/>
    <s v="-"/>
    <s v="No"/>
    <x v="1"/>
    <n v="1"/>
    <n v="4"/>
  </r>
  <r>
    <n v="3508"/>
    <s v="Natália Castro"/>
    <x v="0"/>
    <d v="2024-11-29T00:00:00"/>
    <x v="0"/>
    <n v="15"/>
    <x v="1"/>
    <s v="Yes"/>
    <n v="30"/>
    <s v="Yes"/>
    <x v="0"/>
    <n v="3"/>
    <n v="62"/>
  </r>
  <r>
    <n v="3509"/>
    <s v="Oscar Martins"/>
    <x v="2"/>
    <d v="2024-11-30T00:00:00"/>
    <x v="1"/>
    <n v="10"/>
    <x v="0"/>
    <s v="No"/>
    <s v="-"/>
    <s v="Yes"/>
    <x v="0"/>
    <n v="10"/>
    <n v="20"/>
  </r>
  <r>
    <n v="3510"/>
    <s v="Patrícia Oliveira"/>
    <x v="1"/>
    <d v="2024-12-01T00:00:00"/>
    <x v="0"/>
    <n v="5"/>
    <x v="2"/>
    <s v="No"/>
    <s v="-"/>
    <s v="No"/>
    <x v="1"/>
    <n v="0"/>
    <n v="5"/>
  </r>
  <r>
    <n v="3511"/>
    <s v="Quentin Nogueira"/>
    <x v="0"/>
    <d v="2024-12-02T00:00:00"/>
    <x v="1"/>
    <n v="15"/>
    <x v="0"/>
    <s v="Yes"/>
    <n v="30"/>
    <s v="Yes"/>
    <x v="0"/>
    <n v="15"/>
    <n v="50"/>
  </r>
  <r>
    <n v="3512"/>
    <s v="Raquel Silva"/>
    <x v="2"/>
    <d v="2024-12-03T00:00:00"/>
    <x v="0"/>
    <n v="10"/>
    <x v="1"/>
    <s v="No"/>
    <s v="-"/>
    <s v="Yes"/>
    <x v="0"/>
    <n v="15"/>
    <n v="15"/>
  </r>
  <r>
    <n v="3513"/>
    <s v="Sandro Gomes"/>
    <x v="1"/>
    <d v="2024-12-04T00:00:00"/>
    <x v="1"/>
    <n v="5"/>
    <x v="0"/>
    <s v="No"/>
    <s v="-"/>
    <s v="No"/>
    <x v="1"/>
    <n v="1"/>
    <n v="4"/>
  </r>
  <r>
    <n v="3514"/>
    <s v="Tânia Machado"/>
    <x v="0"/>
    <d v="2024-12-05T00:00:00"/>
    <x v="0"/>
    <n v="15"/>
    <x v="2"/>
    <s v="Yes"/>
    <n v="30"/>
    <s v="Yes"/>
    <x v="0"/>
    <n v="7"/>
    <n v="58"/>
  </r>
  <r>
    <n v="3515"/>
    <s v="Ursula Silva"/>
    <x v="2"/>
    <d v="2024-12-06T00:00:00"/>
    <x v="1"/>
    <n v="10"/>
    <x v="0"/>
    <s v="No"/>
    <s v="-"/>
    <s v="Yes"/>
    <x v="0"/>
    <n v="10"/>
    <n v="20"/>
  </r>
  <r>
    <n v="3516"/>
    <s v="Vanessa Moraes"/>
    <x v="1"/>
    <d v="2024-12-07T00:00:00"/>
    <x v="0"/>
    <n v="5"/>
    <x v="1"/>
    <s v="No"/>
    <s v="-"/>
    <s v="No"/>
    <x v="1"/>
    <n v="0"/>
    <n v="5"/>
  </r>
  <r>
    <n v="3517"/>
    <s v="William Carvalho"/>
    <x v="0"/>
    <d v="2024-12-08T00:00:00"/>
    <x v="1"/>
    <n v="15"/>
    <x v="0"/>
    <s v="Yes"/>
    <n v="30"/>
    <s v="Yes"/>
    <x v="0"/>
    <n v="20"/>
    <n v="45"/>
  </r>
  <r>
    <n v="3518"/>
    <s v="Xavier Reis"/>
    <x v="2"/>
    <d v="2024-12-09T00:00:00"/>
    <x v="0"/>
    <n v="10"/>
    <x v="2"/>
    <s v="No"/>
    <s v="-"/>
    <s v="Yes"/>
    <x v="0"/>
    <n v="12"/>
    <n v="18"/>
  </r>
  <r>
    <n v="3519"/>
    <s v="Yasmin Rocha"/>
    <x v="1"/>
    <d v="2024-12-10T00:00:00"/>
    <x v="1"/>
    <n v="5"/>
    <x v="0"/>
    <s v="No"/>
    <s v="-"/>
    <s v="No"/>
    <x v="1"/>
    <n v="2"/>
    <n v="3"/>
  </r>
  <r>
    <n v="3520"/>
    <s v="Zacarias Duarte"/>
    <x v="0"/>
    <d v="2024-12-11T00:00:00"/>
    <x v="0"/>
    <n v="15"/>
    <x v="1"/>
    <s v="Yes"/>
    <n v="30"/>
    <s v="Yes"/>
    <x v="0"/>
    <n v="5"/>
    <n v="60"/>
  </r>
  <r>
    <n v="3521"/>
    <s v="Amanda Freitas"/>
    <x v="2"/>
    <d v="2024-12-12T00:00:00"/>
    <x v="1"/>
    <n v="10"/>
    <x v="0"/>
    <s v="No"/>
    <s v="-"/>
    <s v="Yes"/>
    <x v="0"/>
    <n v="10"/>
    <n v="20"/>
  </r>
  <r>
    <n v="3522"/>
    <s v="Bruno Almeida"/>
    <x v="1"/>
    <d v="2024-12-13T00:00:00"/>
    <x v="0"/>
    <n v="5"/>
    <x v="2"/>
    <s v="No"/>
    <s v="-"/>
    <s v="No"/>
    <x v="1"/>
    <n v="0"/>
    <n v="5"/>
  </r>
  <r>
    <n v="3523"/>
    <s v="Carla Siqueira"/>
    <x v="0"/>
    <d v="2024-12-14T00:00:00"/>
    <x v="1"/>
    <n v="15"/>
    <x v="0"/>
    <s v="Yes"/>
    <n v="30"/>
    <s v="Yes"/>
    <x v="0"/>
    <n v="3"/>
    <n v="62"/>
  </r>
  <r>
    <n v="3524"/>
    <s v="Diogo Ramos"/>
    <x v="2"/>
    <d v="2024-12-15T00:00:00"/>
    <x v="0"/>
    <n v="10"/>
    <x v="1"/>
    <s v="No"/>
    <s v="-"/>
    <s v="Yes"/>
    <x v="0"/>
    <n v="15"/>
    <n v="15"/>
  </r>
  <r>
    <n v="3525"/>
    <s v="Elisa Magalhães"/>
    <x v="1"/>
    <d v="2024-12-16T00:00:00"/>
    <x v="1"/>
    <n v="5"/>
    <x v="0"/>
    <s v="No"/>
    <s v="-"/>
    <s v="No"/>
    <x v="1"/>
    <n v="1"/>
    <n v="4"/>
  </r>
  <r>
    <m/>
    <m/>
    <x v="3"/>
    <m/>
    <x v="2"/>
    <m/>
    <x v="3"/>
    <m/>
    <m/>
    <m/>
    <x v="2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359608-C201-4A90-846D-64C277DBBCB6}" name="Total Value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3">
  <location ref="A3:B6" firstHeaderRow="1" firstDataRow="1" firstDataCol="1"/>
  <pivotFields count="13">
    <pivotField showAll="0"/>
    <pivotField showAll="0"/>
    <pivotField showAll="0"/>
    <pivotField showAll="0"/>
    <pivotField axis="axisRow" showAll="0">
      <items count="4">
        <item x="1"/>
        <item x="0"/>
        <item h="1" x="2"/>
        <item t="default"/>
      </items>
    </pivotField>
    <pivotField showAll="0"/>
    <pivotField showAll="0">
      <items count="5">
        <item x="1"/>
        <item h="1" x="0"/>
        <item h="1" x="2"/>
        <item h="1" x="3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Soma de Total Value" fld="12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350F48-EB84-4DCE-A365-AF669E16D341}" name="Tabela dinâmica3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3">
  <location ref="A23:B27" firstHeaderRow="1" firstDataRow="1" firstDataCol="1" rowPageCount="1" colPageCount="1"/>
  <pivotFields count="13"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>
      <items count="4">
        <item x="1"/>
        <item x="0"/>
        <item h="1" x="2"/>
        <item t="default"/>
      </items>
    </pivotField>
    <pivotField showAll="0"/>
    <pivotField axis="axisPage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dataField="1" showAll="0">
      <items count="4">
        <item x="1"/>
        <item x="0"/>
        <item x="2"/>
        <item t="default"/>
      </items>
    </pivotField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Minecraft Season Pass Price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05BAC2-0265-46C4-9821-A7B7083503E1}" name="EA Play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3">
  <location ref="A12:B16" firstHeaderRow="1" firstDataRow="1" firstDataCol="1" rowPageCount="1" colPageCount="1"/>
  <pivotFields count="13"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>
      <items count="4">
        <item x="1"/>
        <item x="0"/>
        <item h="1" x="2"/>
        <item t="default"/>
      </items>
    </pivotField>
    <pivotField showAll="0"/>
    <pivotField axis="axisPage"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>
      <items count="4">
        <item x="1"/>
        <item x="0"/>
        <item x="2"/>
        <item t="default"/>
      </items>
    </pivotField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ACF5C687-1E2F-484D-9DF5-68A031C69D63}" sourceName="Subscription Type">
  <pivotTables>
    <pivotTable tabId="5" name="Total Value"/>
    <pivotTable tabId="5" name="EA Play"/>
    <pivotTable tabId="5" name="Tabela dinâmica3"/>
  </pivotTables>
  <data>
    <tabular pivotCacheId="710292254">
      <items count="4">
        <i x="1" s="1"/>
        <i x="0"/>
        <i x="2"/>
        <i x="3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 1" xr10:uid="{62135972-930D-44DA-B479-161B2C3723CA}" cache="SegmentaçãodeDados_Subscription_Type" caption="Subscription Type" style="SlicerStyleLight6 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13" zoomScaleNormal="100" workbookViewId="0">
      <selection sqref="A1:XFD1048576"/>
    </sheetView>
  </sheetViews>
  <sheetFormatPr defaultRowHeight="14.25"/>
  <cols>
    <col min="9" max="9" width="3.6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" thickTop="1"/>
    <row r="5" spans="2:16">
      <c r="B5" s="3" t="s">
        <v>2</v>
      </c>
      <c r="C5" t="s">
        <v>8</v>
      </c>
      <c r="E5" s="7" t="s">
        <v>6</v>
      </c>
      <c r="F5" t="s">
        <v>7</v>
      </c>
    </row>
    <row r="6" spans="2:16">
      <c r="B6" s="4" t="s">
        <v>3</v>
      </c>
      <c r="C6" t="s">
        <v>8</v>
      </c>
    </row>
    <row r="7" spans="2:16">
      <c r="B7" s="5" t="s">
        <v>4</v>
      </c>
      <c r="C7" t="s">
        <v>9</v>
      </c>
    </row>
    <row r="8" spans="2:16">
      <c r="B8" s="6" t="s">
        <v>5</v>
      </c>
      <c r="C8" t="s">
        <v>9</v>
      </c>
    </row>
    <row r="12" spans="2:16" ht="20.25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8D345-E4A3-4978-9815-1CD894FD999B}">
  <sheetPr>
    <tabColor theme="3" tint="0.749992370372631"/>
  </sheetPr>
  <dimension ref="A3:D28"/>
  <sheetViews>
    <sheetView showGridLines="0" topLeftCell="A7" workbookViewId="0">
      <selection sqref="A1:XFD1048576"/>
    </sheetView>
  </sheetViews>
  <sheetFormatPr defaultRowHeight="14.25"/>
  <cols>
    <col min="1" max="1" width="18" bestFit="1" customWidth="1"/>
    <col min="2" max="2" width="35.125" bestFit="1" customWidth="1"/>
    <col min="4" max="4" width="12" bestFit="1" customWidth="1"/>
  </cols>
  <sheetData>
    <row r="3" spans="1:4">
      <c r="A3" s="12" t="s">
        <v>314</v>
      </c>
      <c r="B3" t="s">
        <v>313</v>
      </c>
    </row>
    <row r="4" spans="1:4">
      <c r="A4" s="13" t="s">
        <v>23</v>
      </c>
      <c r="B4" s="21">
        <v>217</v>
      </c>
    </row>
    <row r="5" spans="1:4">
      <c r="A5" s="13" t="s">
        <v>19</v>
      </c>
      <c r="B5" s="21">
        <v>1537</v>
      </c>
    </row>
    <row r="6" spans="1:4">
      <c r="A6" s="13" t="s">
        <v>315</v>
      </c>
      <c r="B6" s="21">
        <v>1754</v>
      </c>
    </row>
    <row r="7" spans="1:4">
      <c r="A7" s="13"/>
    </row>
    <row r="8" spans="1:4">
      <c r="A8" s="17" t="s">
        <v>317</v>
      </c>
      <c r="B8" s="17"/>
    </row>
    <row r="10" spans="1:4">
      <c r="A10" s="12" t="s">
        <v>16</v>
      </c>
      <c r="B10" t="s">
        <v>24</v>
      </c>
    </row>
    <row r="12" spans="1:4">
      <c r="A12" s="12" t="s">
        <v>314</v>
      </c>
      <c r="B12" t="s">
        <v>318</v>
      </c>
    </row>
    <row r="13" spans="1:4">
      <c r="A13" s="13" t="s">
        <v>22</v>
      </c>
      <c r="B13" s="21">
        <v>0</v>
      </c>
    </row>
    <row r="14" spans="1:4">
      <c r="A14" s="13" t="s">
        <v>26</v>
      </c>
      <c r="B14" s="21">
        <v>0</v>
      </c>
    </row>
    <row r="15" spans="1:4">
      <c r="A15" s="13" t="s">
        <v>18</v>
      </c>
      <c r="B15" s="21">
        <v>600</v>
      </c>
    </row>
    <row r="16" spans="1:4">
      <c r="A16" s="13" t="s">
        <v>315</v>
      </c>
      <c r="B16" s="21">
        <v>600</v>
      </c>
      <c r="D16" s="16">
        <f>GETPIVOTDATA("EA Play Season Pass
Price",$A$12)</f>
        <v>600</v>
      </c>
    </row>
    <row r="19" spans="1:4">
      <c r="A19" s="17" t="s">
        <v>319</v>
      </c>
      <c r="B19" s="17"/>
    </row>
    <row r="21" spans="1:4">
      <c r="A21" s="12" t="s">
        <v>16</v>
      </c>
      <c r="B21" t="s">
        <v>24</v>
      </c>
    </row>
    <row r="23" spans="1:4">
      <c r="A23" s="12" t="s">
        <v>314</v>
      </c>
      <c r="B23" t="s">
        <v>320</v>
      </c>
    </row>
    <row r="24" spans="1:4">
      <c r="A24" s="13" t="s">
        <v>22</v>
      </c>
      <c r="B24" s="21">
        <v>0</v>
      </c>
    </row>
    <row r="25" spans="1:4">
      <c r="A25" s="13" t="s">
        <v>26</v>
      </c>
      <c r="B25" s="21">
        <v>540</v>
      </c>
    </row>
    <row r="26" spans="1:4">
      <c r="A26" s="13" t="s">
        <v>18</v>
      </c>
      <c r="B26" s="21">
        <v>400</v>
      </c>
    </row>
    <row r="27" spans="1:4">
      <c r="A27" s="13" t="s">
        <v>315</v>
      </c>
      <c r="B27" s="21">
        <v>940</v>
      </c>
    </row>
    <row r="28" spans="1:4">
      <c r="D28" s="16">
        <f>GETPIVOTDATA("Minecraft Season Pass Price",$A$23)</f>
        <v>940</v>
      </c>
    </row>
  </sheetData>
  <mergeCells count="2">
    <mergeCell ref="A8:B8"/>
    <mergeCell ref="A19:B19"/>
  </mergeCells>
  <pageMargins left="0.511811024" right="0.511811024" top="0.78740157499999996" bottom="0.78740157499999996" header="0.31496062000000002" footer="0.31496062000000002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sqref="A1:XFD1048576"/>
    </sheetView>
  </sheetViews>
  <sheetFormatPr defaultRowHeight="14.25"/>
  <cols>
    <col min="1" max="1" width="17.875" bestFit="1" customWidth="1"/>
    <col min="2" max="2" width="18.875" bestFit="1" customWidth="1"/>
    <col min="3" max="3" width="9.375" bestFit="1" customWidth="1"/>
    <col min="4" max="4" width="14.625" bestFit="1" customWidth="1"/>
    <col min="5" max="5" width="18" bestFit="1" customWidth="1"/>
    <col min="6" max="6" width="14.75" bestFit="1" customWidth="1"/>
    <col min="7" max="7" width="22" bestFit="1" customWidth="1"/>
    <col min="8" max="8" width="20.625" bestFit="1" customWidth="1"/>
    <col min="9" max="9" width="20.625" customWidth="1"/>
    <col min="10" max="10" width="16.75" bestFit="1" customWidth="1"/>
    <col min="11" max="11" width="21.25" bestFit="1" customWidth="1"/>
    <col min="12" max="12" width="12.75" bestFit="1" customWidth="1"/>
    <col min="13" max="13" width="10.6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V17"/>
  <sheetViews>
    <sheetView showGridLines="0" tabSelected="1" zoomScale="85" zoomScaleNormal="85" workbookViewId="0">
      <selection activeCell="B12" sqref="B12"/>
    </sheetView>
  </sheetViews>
  <sheetFormatPr defaultRowHeight="14.25"/>
  <cols>
    <col min="1" max="1" width="26.75" style="4" customWidth="1"/>
    <col min="2" max="2" width="4.5" style="19" customWidth="1"/>
    <col min="3" max="3" width="3.75" style="24" customWidth="1"/>
    <col min="4" max="12" width="9" style="7"/>
    <col min="13" max="13" width="6.625" style="7" customWidth="1"/>
    <col min="14" max="20" width="9" style="7"/>
    <col min="21" max="21" width="6.75" style="7" customWidth="1"/>
    <col min="22" max="22" width="9" style="19"/>
    <col min="23" max="16384" width="9" style="7"/>
  </cols>
  <sheetData>
    <row r="1" spans="1:22" s="14" customFormat="1" ht="12" customHeight="1">
      <c r="A1" s="4"/>
      <c r="B1" s="18"/>
      <c r="C1" s="22"/>
      <c r="V1" s="18"/>
    </row>
    <row r="2" spans="1:22" s="14" customFormat="1" ht="34.5" customHeight="1" thickBot="1">
      <c r="A2" s="4"/>
      <c r="B2" s="18"/>
      <c r="C2" s="22"/>
      <c r="D2" s="25" t="s">
        <v>316</v>
      </c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8"/>
    </row>
    <row r="3" spans="1:22" s="14" customFormat="1" ht="23.25" customHeight="1" thickTop="1">
      <c r="A3" s="4"/>
      <c r="B3" s="18"/>
      <c r="C3" s="22"/>
      <c r="V3" s="18"/>
    </row>
    <row r="4" spans="1:22" s="19" customFormat="1" ht="27" customHeight="1">
      <c r="A4" s="20"/>
      <c r="C4" s="23"/>
    </row>
    <row r="5" spans="1:22" ht="7.5" customHeight="1"/>
    <row r="6" spans="1:22" ht="10.5" customHeight="1"/>
    <row r="7" spans="1:22" ht="9.75" customHeight="1"/>
    <row r="8" spans="1:22" ht="33" customHeight="1"/>
    <row r="17" ht="15.75" customHeight="1"/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Cálculos</vt:lpstr>
      <vt:lpstr>B̳ases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Rose Claudino</cp:lastModifiedBy>
  <dcterms:created xsi:type="dcterms:W3CDTF">2024-12-19T13:13:10Z</dcterms:created>
  <dcterms:modified xsi:type="dcterms:W3CDTF">2025-12-15T23:02:33Z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